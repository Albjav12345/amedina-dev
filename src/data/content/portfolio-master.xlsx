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filterPrivacy="1"/>
  <xr:revisionPtr revIDLastSave="0" documentId="13_ncr:1_{3C202220-8D93-418D-8F21-B866674A6D67}" xr6:coauthVersionLast="47" xr6:coauthVersionMax="47" xr10:uidLastSave="{00000000-0000-0000-0000-000000000000}"/>
  <bookViews>
    <workbookView xWindow="-108" yWindow="-108" windowWidth="30936" windowHeight="16776" activeTab="5"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4" i="10" l="1"/>
  <c r="F54" i="10"/>
  <c r="E54" i="10"/>
  <c r="D54" i="10"/>
  <c r="C54" i="10"/>
  <c r="B54" i="10"/>
  <c r="A54" i="10"/>
  <c r="G53" i="10"/>
  <c r="F53" i="10"/>
  <c r="E53" i="10"/>
  <c r="D53" i="10"/>
  <c r="C53" i="10"/>
  <c r="B53" i="10"/>
  <c r="A53" i="10"/>
  <c r="G52" i="10"/>
  <c r="F52" i="10"/>
  <c r="E52" i="10"/>
  <c r="D52" i="10"/>
  <c r="C52" i="10"/>
  <c r="B52" i="10"/>
  <c r="A52" i="10"/>
  <c r="G51" i="10"/>
  <c r="F51" i="10"/>
  <c r="E51" i="10"/>
  <c r="D51" i="10"/>
  <c r="C51" i="10"/>
  <c r="B51" i="10"/>
  <c r="A51" i="10"/>
  <c r="G50" i="10"/>
  <c r="F50" i="10"/>
  <c r="E50" i="10"/>
  <c r="D50" i="10"/>
  <c r="C50" i="10"/>
  <c r="B50" i="10"/>
  <c r="A50" i="10"/>
  <c r="G49" i="10"/>
  <c r="F49" i="10"/>
  <c r="E49" i="10"/>
  <c r="D49" i="10"/>
  <c r="C49" i="10"/>
  <c r="B49" i="10"/>
  <c r="A49" i="10"/>
  <c r="G48" i="10"/>
  <c r="F48" i="10"/>
  <c r="E48" i="10"/>
  <c r="D48" i="10"/>
  <c r="C48" i="10"/>
  <c r="B48" i="10"/>
  <c r="A48" i="10"/>
  <c r="G47" i="10"/>
  <c r="F47" i="10"/>
  <c r="E47" i="10"/>
  <c r="D47" i="10"/>
  <c r="C47" i="10"/>
  <c r="B47" i="10"/>
  <c r="A47" i="10"/>
  <c r="G46" i="10"/>
  <c r="F46" i="10"/>
  <c r="E46" i="10"/>
  <c r="D46" i="10"/>
  <c r="C46" i="10"/>
  <c r="B46" i="10"/>
  <c r="A46" i="10"/>
  <c r="G45" i="10"/>
  <c r="F45" i="10"/>
  <c r="E45" i="10"/>
  <c r="D45" i="10"/>
  <c r="C45" i="10"/>
  <c r="B45" i="10"/>
  <c r="A45" i="10"/>
  <c r="F44" i="10"/>
  <c r="E44" i="10"/>
  <c r="C44" i="10"/>
  <c r="B44" i="10"/>
  <c r="A44" i="10"/>
  <c r="F43" i="10"/>
  <c r="E43" i="10"/>
  <c r="C43" i="10"/>
  <c r="B43" i="10"/>
  <c r="A43" i="10"/>
  <c r="F42" i="10"/>
  <c r="E42" i="10"/>
  <c r="C42" i="10"/>
  <c r="B42" i="10"/>
  <c r="A42" i="10"/>
  <c r="F41" i="10"/>
  <c r="E41" i="10"/>
  <c r="C41" i="10"/>
  <c r="B41" i="10"/>
  <c r="A41" i="10"/>
  <c r="F40" i="10"/>
  <c r="E40" i="10"/>
  <c r="C40" i="10"/>
  <c r="B40" i="10"/>
  <c r="A40" i="10"/>
  <c r="F39" i="10"/>
  <c r="E39" i="10"/>
  <c r="D39" i="10"/>
  <c r="C39" i="10"/>
  <c r="B39" i="10"/>
  <c r="A39" i="10"/>
  <c r="F38" i="10"/>
  <c r="E38" i="10"/>
  <c r="D38" i="10"/>
  <c r="C38" i="10"/>
  <c r="B38" i="10"/>
  <c r="A38" i="10"/>
  <c r="F37" i="10"/>
  <c r="E37" i="10"/>
  <c r="C37" i="10"/>
  <c r="B37" i="10"/>
  <c r="A37" i="10"/>
  <c r="G36" i="10"/>
  <c r="F36" i="10"/>
  <c r="E36" i="10"/>
  <c r="C36" i="10"/>
  <c r="B36" i="10"/>
  <c r="A36" i="10"/>
  <c r="F35" i="10"/>
  <c r="E35" i="10"/>
  <c r="C35" i="10"/>
  <c r="B35" i="10"/>
  <c r="A35" i="10"/>
  <c r="F34" i="10"/>
  <c r="E34" i="10"/>
  <c r="C34" i="10"/>
  <c r="B34" i="10"/>
  <c r="A34" i="10"/>
  <c r="F33" i="10"/>
  <c r="E33" i="10"/>
  <c r="D33" i="10"/>
  <c r="C33" i="10"/>
  <c r="B33" i="10"/>
  <c r="A33" i="10"/>
  <c r="F32" i="10"/>
  <c r="E32" i="10"/>
  <c r="D32" i="10"/>
  <c r="C32" i="10"/>
  <c r="B32" i="10"/>
  <c r="A32" i="10"/>
  <c r="F31" i="10"/>
  <c r="E31" i="10"/>
  <c r="C31" i="10"/>
  <c r="B31" i="10"/>
  <c r="A31" i="10"/>
  <c r="F30" i="10"/>
  <c r="E30" i="10"/>
  <c r="C30" i="10"/>
  <c r="B30" i="10"/>
  <c r="A30" i="10"/>
  <c r="F29" i="10"/>
  <c r="E29" i="10"/>
  <c r="C29" i="10"/>
  <c r="B29" i="10"/>
  <c r="A29" i="10"/>
  <c r="F28" i="10"/>
  <c r="E28" i="10"/>
  <c r="C28" i="10"/>
  <c r="B28" i="10"/>
  <c r="A28" i="10"/>
  <c r="F27" i="10"/>
  <c r="E27" i="10"/>
  <c r="D27" i="10"/>
  <c r="C27" i="10"/>
  <c r="B27" i="10"/>
  <c r="A27" i="10"/>
  <c r="F26" i="10"/>
  <c r="E26" i="10"/>
  <c r="D26" i="10"/>
  <c r="C26" i="10"/>
  <c r="B26" i="10"/>
  <c r="A26" i="10"/>
  <c r="F25" i="10"/>
  <c r="E25" i="10"/>
  <c r="C25" i="10"/>
  <c r="B25" i="10"/>
  <c r="A25" i="10"/>
  <c r="G24" i="10"/>
  <c r="F24" i="10"/>
  <c r="E24" i="10"/>
  <c r="C24" i="10"/>
  <c r="B24" i="10"/>
  <c r="A24" i="10"/>
  <c r="F23" i="10"/>
  <c r="E23" i="10"/>
  <c r="C23" i="10"/>
  <c r="B23" i="10"/>
  <c r="A23" i="10"/>
  <c r="F22" i="10"/>
  <c r="E22" i="10"/>
  <c r="C22" i="10"/>
  <c r="B22" i="10"/>
  <c r="A22" i="10"/>
  <c r="F21" i="10"/>
  <c r="E21" i="10"/>
  <c r="D21" i="10"/>
  <c r="C21" i="10"/>
  <c r="B21" i="10"/>
  <c r="A21" i="10"/>
  <c r="F20" i="10"/>
  <c r="E20" i="10"/>
  <c r="D20" i="10"/>
  <c r="C20" i="10"/>
  <c r="B20" i="10"/>
  <c r="A20" i="10"/>
  <c r="F19" i="10"/>
  <c r="E19" i="10"/>
  <c r="C19" i="10"/>
  <c r="B19" i="10"/>
  <c r="A19" i="10"/>
  <c r="F18" i="10"/>
  <c r="E18" i="10"/>
  <c r="C18" i="10"/>
  <c r="B18" i="10"/>
  <c r="A18" i="10"/>
  <c r="F17" i="10"/>
  <c r="E17" i="10"/>
  <c r="C17" i="10"/>
  <c r="B17" i="10"/>
  <c r="A17" i="10"/>
  <c r="F16" i="10"/>
  <c r="E16" i="10"/>
  <c r="C16" i="10"/>
  <c r="B16" i="10"/>
  <c r="A16" i="10"/>
  <c r="F15" i="10"/>
  <c r="E15" i="10"/>
  <c r="D15" i="10"/>
  <c r="C15" i="10"/>
  <c r="B15" i="10"/>
  <c r="A15" i="10"/>
  <c r="F14" i="10"/>
  <c r="E14" i="10"/>
  <c r="D14" i="10"/>
  <c r="C14" i="10"/>
  <c r="B14" i="10"/>
  <c r="A14" i="10"/>
  <c r="F13" i="10"/>
  <c r="E13" i="10"/>
  <c r="C13" i="10"/>
  <c r="B13" i="10"/>
  <c r="A13" i="10"/>
  <c r="G12" i="10"/>
  <c r="F12" i="10"/>
  <c r="E12" i="10"/>
  <c r="C12" i="10"/>
  <c r="B12" i="10"/>
  <c r="A12" i="10"/>
  <c r="F11" i="10"/>
  <c r="E11" i="10"/>
  <c r="C11" i="10"/>
  <c r="B11" i="10"/>
  <c r="A11" i="10"/>
  <c r="F10" i="10"/>
  <c r="E10" i="10"/>
  <c r="C10" i="10"/>
  <c r="B10" i="10"/>
  <c r="A10" i="10"/>
  <c r="F9" i="10"/>
  <c r="E9" i="10"/>
  <c r="D9" i="10"/>
  <c r="C9" i="10"/>
  <c r="B9" i="10"/>
  <c r="A9" i="10"/>
  <c r="N54" i="9"/>
  <c r="M54" i="9"/>
  <c r="K54" i="9"/>
  <c r="J54" i="9"/>
  <c r="I54" i="9"/>
  <c r="N53" i="9"/>
  <c r="M53" i="9"/>
  <c r="K53" i="9"/>
  <c r="J53" i="9"/>
  <c r="I53" i="9"/>
  <c r="N52" i="9"/>
  <c r="M52" i="9"/>
  <c r="K52" i="9"/>
  <c r="J52" i="9"/>
  <c r="I52" i="9"/>
  <c r="N51" i="9"/>
  <c r="M51" i="9"/>
  <c r="K51" i="9"/>
  <c r="J51" i="9"/>
  <c r="I51" i="9"/>
  <c r="N50" i="9"/>
  <c r="M50" i="9"/>
  <c r="K50" i="9"/>
  <c r="J50" i="9"/>
  <c r="I50" i="9"/>
  <c r="N49" i="9"/>
  <c r="M49" i="9"/>
  <c r="K49" i="9"/>
  <c r="J49" i="9"/>
  <c r="I49" i="9"/>
  <c r="N48" i="9"/>
  <c r="M48" i="9"/>
  <c r="K48" i="9"/>
  <c r="J48" i="9"/>
  <c r="I48" i="9"/>
  <c r="N47" i="9"/>
  <c r="M47" i="9"/>
  <c r="K47" i="9"/>
  <c r="J47" i="9"/>
  <c r="I47" i="9"/>
  <c r="N46" i="9"/>
  <c r="M46" i="9"/>
  <c r="K46" i="9"/>
  <c r="J46" i="9"/>
  <c r="I46" i="9"/>
  <c r="N45" i="9"/>
  <c r="M45" i="9"/>
  <c r="K45" i="9"/>
  <c r="J45" i="9"/>
  <c r="I45" i="9"/>
  <c r="N44" i="9"/>
  <c r="M44" i="9"/>
  <c r="K44" i="9"/>
  <c r="J44" i="9"/>
  <c r="I44" i="9"/>
  <c r="D44" i="10" s="1"/>
  <c r="N43" i="9"/>
  <c r="M43" i="9"/>
  <c r="K43" i="9"/>
  <c r="J43" i="9"/>
  <c r="I43" i="9"/>
  <c r="G43" i="10" s="1"/>
  <c r="M42" i="9"/>
  <c r="J42" i="9"/>
  <c r="I42" i="9"/>
  <c r="G42" i="10" s="1"/>
  <c r="M41" i="9"/>
  <c r="J41" i="9"/>
  <c r="I41" i="9"/>
  <c r="N41" i="9" s="1"/>
  <c r="M40" i="9"/>
  <c r="J40" i="9"/>
  <c r="I40" i="9"/>
  <c r="G40" i="10" s="1"/>
  <c r="N39" i="9"/>
  <c r="M39" i="9"/>
  <c r="J39" i="9"/>
  <c r="I39" i="9"/>
  <c r="K39" i="9" s="1"/>
  <c r="N38" i="9"/>
  <c r="M38" i="9"/>
  <c r="J38" i="9"/>
  <c r="I38" i="9"/>
  <c r="G38" i="10" s="1"/>
  <c r="M37" i="9"/>
  <c r="K37" i="9"/>
  <c r="J37" i="9"/>
  <c r="I37" i="9"/>
  <c r="D37" i="10" s="1"/>
  <c r="N36" i="9"/>
  <c r="M36" i="9"/>
  <c r="K36" i="9"/>
  <c r="J36" i="9"/>
  <c r="I36" i="9"/>
  <c r="D36" i="10" s="1"/>
  <c r="M35" i="9"/>
  <c r="J35" i="9"/>
  <c r="I35" i="9"/>
  <c r="G35" i="10" s="1"/>
  <c r="N34" i="9"/>
  <c r="M34" i="9"/>
  <c r="J34" i="9"/>
  <c r="I34" i="9"/>
  <c r="K34" i="9" s="1"/>
  <c r="N33" i="9"/>
  <c r="M33" i="9"/>
  <c r="K33" i="9"/>
  <c r="J33" i="9"/>
  <c r="I33" i="9"/>
  <c r="G33" i="10" s="1"/>
  <c r="N32" i="9"/>
  <c r="M32" i="9"/>
  <c r="K32" i="9"/>
  <c r="J32" i="9"/>
  <c r="I32" i="9"/>
  <c r="G32" i="10" s="1"/>
  <c r="M31" i="9"/>
  <c r="K31" i="9"/>
  <c r="J31" i="9"/>
  <c r="I31" i="9"/>
  <c r="G31" i="10" s="1"/>
  <c r="M30" i="9"/>
  <c r="J30" i="9"/>
  <c r="I30" i="9"/>
  <c r="K30" i="9" s="1"/>
  <c r="M29" i="9"/>
  <c r="J29" i="9"/>
  <c r="I29" i="9"/>
  <c r="N29" i="9" s="1"/>
  <c r="M28" i="9"/>
  <c r="J28" i="9"/>
  <c r="I28" i="9"/>
  <c r="G28" i="10" s="1"/>
  <c r="N27" i="9"/>
  <c r="M27" i="9"/>
  <c r="J27" i="9"/>
  <c r="I27" i="9"/>
  <c r="K27" i="9" s="1"/>
  <c r="N26" i="9"/>
  <c r="M26" i="9"/>
  <c r="J26" i="9"/>
  <c r="I26" i="9"/>
  <c r="G26" i="10" s="1"/>
  <c r="M25" i="9"/>
  <c r="K25" i="9"/>
  <c r="J25" i="9"/>
  <c r="I25" i="9"/>
  <c r="D25" i="10" s="1"/>
  <c r="N24" i="9"/>
  <c r="M24" i="9"/>
  <c r="K24" i="9"/>
  <c r="J24" i="9"/>
  <c r="I24" i="9"/>
  <c r="D24" i="10" s="1"/>
  <c r="M23" i="9"/>
  <c r="J23" i="9"/>
  <c r="I23" i="9"/>
  <c r="G23" i="10" s="1"/>
  <c r="N22" i="9"/>
  <c r="M22" i="9"/>
  <c r="J22" i="9"/>
  <c r="I22" i="9"/>
  <c r="K22" i="9" s="1"/>
  <c r="N21" i="9"/>
  <c r="M21" i="9"/>
  <c r="K21" i="9"/>
  <c r="J21" i="9"/>
  <c r="I21" i="9"/>
  <c r="G21" i="10" s="1"/>
  <c r="N20" i="9"/>
  <c r="M20" i="9"/>
  <c r="K20" i="9"/>
  <c r="J20" i="9"/>
  <c r="I20" i="9"/>
  <c r="G20" i="10" s="1"/>
  <c r="M19" i="9"/>
  <c r="K19" i="9"/>
  <c r="J19" i="9"/>
  <c r="I19" i="9"/>
  <c r="G19" i="10" s="1"/>
  <c r="M18" i="9"/>
  <c r="J18" i="9"/>
  <c r="I18" i="9"/>
  <c r="K18" i="9" s="1"/>
  <c r="M17" i="9"/>
  <c r="J17" i="9"/>
  <c r="I17" i="9"/>
  <c r="N17" i="9" s="1"/>
  <c r="M16" i="9"/>
  <c r="J16" i="9"/>
  <c r="I16" i="9"/>
  <c r="G16" i="10" s="1"/>
  <c r="N15" i="9"/>
  <c r="M15" i="9"/>
  <c r="J15" i="9"/>
  <c r="I15" i="9"/>
  <c r="K15" i="9" s="1"/>
  <c r="N14" i="9"/>
  <c r="M14" i="9"/>
  <c r="J14" i="9"/>
  <c r="I14" i="9"/>
  <c r="G14" i="10" s="1"/>
  <c r="M13" i="9"/>
  <c r="K13" i="9"/>
  <c r="J13" i="9"/>
  <c r="I13" i="9"/>
  <c r="D13" i="10" s="1"/>
  <c r="N12" i="9"/>
  <c r="M12" i="9"/>
  <c r="K12" i="9"/>
  <c r="J12" i="9"/>
  <c r="I12" i="9"/>
  <c r="D12" i="10" s="1"/>
  <c r="M11" i="9"/>
  <c r="J11" i="9"/>
  <c r="I11" i="9"/>
  <c r="D11" i="10" s="1"/>
  <c r="N10" i="9"/>
  <c r="M10" i="9"/>
  <c r="J10" i="9"/>
  <c r="I10" i="9"/>
  <c r="K10" i="9" s="1"/>
  <c r="N9" i="9"/>
  <c r="M9" i="9"/>
  <c r="K9" i="9"/>
  <c r="J9" i="9"/>
  <c r="I9" i="9"/>
  <c r="G9" i="10" s="1"/>
  <c r="G30" i="10" l="1"/>
  <c r="K11" i="9"/>
  <c r="N13" i="9"/>
  <c r="K23" i="9"/>
  <c r="N25" i="9"/>
  <c r="K35" i="9"/>
  <c r="N37" i="9"/>
  <c r="D10" i="10"/>
  <c r="G13" i="10"/>
  <c r="D22" i="10"/>
  <c r="G25" i="10"/>
  <c r="D34" i="10"/>
  <c r="G37" i="10"/>
  <c r="K16" i="9"/>
  <c r="N18" i="9"/>
  <c r="K28" i="9"/>
  <c r="N30" i="9"/>
  <c r="K40" i="9"/>
  <c r="N42" i="9"/>
  <c r="D17" i="10"/>
  <c r="D29" i="10"/>
  <c r="D41" i="10"/>
  <c r="G44" i="10"/>
  <c r="G11" i="10"/>
  <c r="G18" i="10"/>
  <c r="N23" i="9"/>
  <c r="N35" i="9"/>
  <c r="G15" i="10"/>
  <c r="G27" i="10"/>
  <c r="G39" i="10"/>
  <c r="K42" i="9"/>
  <c r="N11" i="9"/>
  <c r="K14" i="9"/>
  <c r="N16" i="9"/>
  <c r="K26" i="9"/>
  <c r="N28" i="9"/>
  <c r="K38" i="9"/>
  <c r="N40" i="9"/>
  <c r="G10" i="10"/>
  <c r="D19" i="10"/>
  <c r="G22" i="10"/>
  <c r="D31" i="10"/>
  <c r="G34" i="10"/>
  <c r="D43" i="10"/>
  <c r="G17" i="10"/>
  <c r="G29" i="10"/>
  <c r="G41" i="10"/>
  <c r="K17" i="9"/>
  <c r="N19" i="9"/>
  <c r="K29" i="9"/>
  <c r="N31" i="9"/>
  <c r="K41" i="9"/>
  <c r="D16" i="10"/>
  <c r="D28" i="10"/>
  <c r="D40" i="10"/>
  <c r="D23" i="10"/>
  <c r="D35" i="10"/>
  <c r="D18" i="10"/>
  <c r="D30" i="10"/>
  <c r="D42" i="10"/>
</calcChain>
</file>

<file path=xl/sharedStrings.xml><?xml version="1.0" encoding="utf-8"?>
<sst xmlns="http://schemas.openxmlformats.org/spreadsheetml/2006/main" count="1753" uniqueCount="716">
  <si>
    <t>Portfolio Content Hub</t>
  </si>
  <si>
    <t>Edit the workbook from a single control center, then sync the site.</t>
  </si>
  <si>
    <t>MASTER WORKBOOK | LAST SYNC 2026-06-22 20:02:49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</si>
  <si>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</si>
  <si>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</si>
  <si>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</si>
  <si>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</si>
  <si>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</si>
  <si>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</si>
  <si>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</si>
  <si>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</si>
  <si>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</si>
  <si>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</si>
  <si>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</si>
  <si>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</si>
  <si>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</si>
  <si>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</si>
  <si>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</si>
  <si>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</si>
  <si>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</si>
  <si>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</si>
  <si>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</si>
  <si>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</si>
  <si>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</si>
  <si>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</si>
  <si>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</si>
  <si>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</si>
  <si>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</si>
  <si>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</si>
  <si>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</si>
  <si>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</si>
  <si>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</si>
  <si>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</si>
  <si>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</si>
  <si>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</si>
  <si>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</si>
  <si>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</si>
  <si>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</si>
  <si>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</si>
  <si>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</si>
  <si>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</si>
  <si>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</si>
  <si>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</si>
  <si>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</si>
  <si>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</si>
  <si>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</si>
  <si>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</si>
  <si>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</si>
  <si>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</si>
  <si>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</si>
  <si>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</si>
  <si>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</si>
  <si>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</si>
  <si>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</si>
  <si>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</si>
  <si>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</si>
  <si>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</si>
  <si>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</si>
  <si>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</si>
  <si>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</si>
  <si>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2026-06-22 20:02:49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</si>
  <si>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</si>
  <si>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</si>
  <si>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</si>
  <si>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</si>
  <si>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</si>
  <si>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</si>
  <si>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</si>
  <si>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</si>
  <si>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</si>
  <si>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</si>
  <si>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</si>
  <si>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</si>
  <si>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</si>
  <si>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</si>
  <si>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and highlighted = TRUE to visually emphasize it.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</si>
  <si>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</si>
  <si>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</si>
  <si>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</si>
  <si>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</si>
  <si>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</si>
  <si>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</si>
  <si>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</si>
  <si>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</si>
  <si>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</si>
  <si>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</si>
  <si>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</si>
  <si>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</si>
  <si>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</si>
  <si>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</si>
  <si>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</si>
  <si>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</si>
  <si>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</si>
  <si>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</si>
  <si>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</si>
  <si>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</si>
  <si>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</si>
  <si>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</si>
  <si>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</si>
  <si>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</si>
  <si>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</si>
  <si>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</si>
  <si>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</si>
  <si>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</si>
  <si>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</si>
  <si>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</si>
  <si>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</si>
  <si>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</si>
  <si>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</si>
  <si>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</si>
  <si>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</si>
  <si>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</si>
  <si>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</si>
  <si>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</si>
  <si>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</si>
  <si>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</si>
  <si>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</si>
  <si>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</si>
  <si>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</si>
  <si>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</si>
  <si>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</si>
  <si>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</si>
  <si>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</si>
  <si>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</si>
  <si>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</si>
  <si>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</si>
  <si>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</si>
  <si>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</si>
  <si>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</si>
  <si>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</si>
  <si>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</si>
  <si>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</si>
  <si>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</si>
  <si>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</si>
  <si>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</si>
  <si>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</si>
  <si>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</si>
  <si>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</si>
  <si>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</si>
  <si>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</si>
  <si>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</si>
  <si>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</si>
  <si>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</si>
  <si>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</si>
  <si>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</si>
  <si>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</si>
  <si>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</si>
  <si>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</si>
  <si>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</si>
  <si>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</si>
  <si>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</si>
  <si>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</si>
  <si>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</si>
  <si>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</si>
  <si>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</si>
  <si>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</si>
  <si>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</si>
  <si>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</si>
  <si>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</si>
  <si>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</si>
  <si>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</si>
  <si>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</si>
  <si>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</si>
  <si>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</si>
  <si>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</si>
  <si>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</si>
  <si>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</si>
  <si>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</si>
  <si>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</si>
  <si>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</si>
  <si>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</si>
  <si>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</si>
  <si>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</si>
  <si>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</si>
  <si>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</si>
  <si>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</si>
  <si>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2026-06-22 20:02:49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</si>
  <si>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</si>
  <si>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</si>
  <si>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</si>
  <si>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</si>
  <si>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</si>
  <si>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</si>
  <si>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</si>
  <si>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</si>
  <si>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</si>
  <si>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</si>
  <si>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</si>
  <si>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</si>
  <si>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</si>
  <si>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</si>
  <si>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</si>
  <si>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</si>
  <si>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</si>
  <si>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</si>
  <si>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</si>
  <si>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</si>
  <si>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</si>
  <si>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</si>
  <si>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</si>
  <si>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</si>
  <si>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</si>
  <si>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</si>
  <si>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</si>
  <si>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</si>
  <si>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</si>
  <si>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</si>
  <si>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</si>
  <si>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</si>
  <si>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</si>
  <si>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</si>
  <si>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</si>
  <si>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</si>
  <si>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</si>
  <si>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</si>
  <si>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</si>
  <si>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</si>
  <si>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</si>
  <si>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</si>
  <si>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</si>
  <si>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</si>
  <si>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</si>
  <si>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</si>
  <si>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</si>
  <si>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</si>
  <si>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</si>
  <si>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</si>
  <si>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</si>
  <si>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/Alberto_Medina_CV_2026.pdf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</si>
  <si>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</si>
  <si>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</si>
  <si>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</si>
  <si>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</si>
  <si>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</si>
  <si>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</si>
  <si>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</si>
  <si>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</si>
  <si>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</si>
  <si>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</si>
  <si>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</si>
  <si>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</si>
  <si>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</si>
  <si>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</si>
  <si>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</si>
  <si>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</si>
  <si>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</si>
  <si>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</si>
  <si>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</si>
  <si>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</si>
  <si>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</si>
  <si>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</si>
  <si>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</si>
  <si>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</si>
  <si>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</si>
  <si>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</si>
  <si>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</si>
  <si>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</si>
  <si>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</si>
  <si>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</si>
  <si>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</si>
  <si>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</si>
  <si>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</si>
  <si>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</si>
  <si>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</si>
  <si>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</si>
  <si>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</si>
  <si>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</si>
  <si>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</si>
  <si>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</si>
  <si>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</si>
  <si>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</si>
  <si>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</si>
  <si>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</si>
  <si>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</si>
  <si>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</si>
  <si>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</si>
  <si>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</si>
  <si>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</si>
  <si>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</si>
  <si>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</si>
  <si>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</si>
  <si>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</si>
  <si>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</si>
  <si>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</si>
  <si>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</si>
  <si>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</si>
  <si>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</si>
  <si>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</si>
  <si>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</si>
  <si>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</si>
  <si>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</si>
  <si>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</si>
  <si>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</si>
  <si>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</si>
  <si>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</si>
  <si>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</si>
  <si>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</si>
  <si>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</si>
  <si>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</si>
  <si>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</si>
  <si>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</si>
  <si>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</si>
  <si>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</si>
  <si>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</si>
  <si>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</si>
  <si>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</si>
  <si>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</si>
  <si>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</si>
  <si>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</si>
  <si>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</si>
  <si>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</si>
  <si>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</si>
  <si>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</si>
  <si>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</si>
  <si>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</si>
  <si>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</si>
  <si>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</si>
  <si>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</si>
  <si>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</si>
  <si>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</si>
  <si>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</si>
  <si>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</si>
  <si>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</si>
  <si>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</si>
  <si>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</si>
  <si>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</si>
  <si>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</si>
  <si>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</si>
  <si>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</si>
  <si>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</si>
  <si>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</si>
  <si>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</si>
  <si>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</si>
  <si>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</si>
  <si>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</si>
  <si>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</si>
  <si>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</si>
  <si>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</si>
  <si>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</si>
  <si>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</si>
  <si>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</si>
  <si>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</si>
  <si>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</si>
  <si>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</si>
  <si>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</si>
  <si>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</si>
  <si>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</si>
  <si>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</si>
  <si>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</si>
  <si>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</si>
  <si>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</si>
  <si>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</si>
  <si>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</si>
  <si>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</si>
  <si>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</si>
  <si>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</si>
  <si>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</si>
  <si>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</si>
  <si>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</si>
  <si>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</si>
  <si>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</si>
  <si>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</si>
  <si>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</si>
  <si>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</si>
  <si>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</si>
  <si>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</si>
  <si>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</si>
  <si>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</si>
  <si>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</si>
  <si>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</si>
  <si>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</si>
  <si>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</si>
  <si>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</si>
  <si>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</si>
  <si>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</si>
  <si>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</si>
  <si>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</si>
  <si>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</si>
  <si>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</si>
  <si>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</si>
  <si>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</si>
  <si>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</si>
  <si>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</si>
  <si>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</si>
  <si>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</si>
  <si>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</si>
  <si>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</si>
  <si>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</si>
  <si>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</si>
  <si>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</si>
  <si>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</si>
  <si>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</si>
  <si>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</si>
  <si>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</si>
  <si>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</si>
  <si>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</si>
  <si>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</si>
  <si>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</si>
  <si>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</si>
  <si>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</si>
  <si>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</si>
  <si>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</si>
  <si>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</si>
  <si>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</si>
  <si>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</si>
  <si>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</si>
  <si>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</si>
  <si>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</si>
  <si>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</si>
  <si>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</si>
  <si>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</si>
  <si>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</si>
  <si>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</si>
  <si>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</si>
  <si>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</si>
  <si>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</si>
  <si>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</si>
  <si>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</si>
  <si>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</si>
  <si>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</si>
  <si>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</si>
  <si>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</si>
  <si>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</si>
  <si>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</si>
  <si>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</si>
  <si>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</si>
  <si>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</si>
  <si>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</si>
  <si>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</si>
  <si>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</si>
  <si>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</si>
  <si>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</si>
  <si>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</si>
  <si>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</si>
  <si>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</si>
  <si>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</si>
  <si>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</si>
  <si>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</si>
  <si>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</si>
  <si>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</si>
  <si>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</si>
  <si>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</si>
  <si>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</si>
  <si>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</si>
  <si>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</si>
  <si>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</si>
  <si>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</si>
  <si>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</si>
  <si>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</si>
  <si>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</si>
  <si>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</si>
  <si>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</si>
  <si>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</si>
  <si>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</si>
  <si>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</si>
  <si>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</si>
  <si>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</si>
  <si>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</si>
  <si>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</si>
  <si>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</si>
  <si>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</si>
  <si>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</si>
  <si>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</si>
  <si>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</si>
  <si>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</si>
  <si>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</si>
  <si>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</si>
  <si>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Authorized USB Acquisition Lab video</t>
  </si>
  <si>
    <t>/assets/projects/usb-extraction.png</t>
  </si>
  <si>
    <t>USB Exfiltration thumbnail</t>
  </si>
  <si>
    <t>USB Exfiltration poster image</t>
  </si>
  <si>
    <t>Authorized USB Acquisition Lab thumbnail</t>
  </si>
  <si>
    <t>/assets/projects/terminal.ico</t>
  </si>
  <si>
    <t>USB Exfiltration icon</t>
  </si>
  <si>
    <t>USB Exfiltration icon asset</t>
  </si>
  <si>
    <t>Authorized USB Acquisition Lab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</si>
  <si>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</si>
  <si>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</si>
  <si>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</si>
  <si>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</si>
  <si>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</si>
  <si>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</si>
  <si>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</si>
  <si>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</si>
  <si>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</si>
  <si>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</si>
  <si>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</si>
  <si>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</si>
  <si>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</si>
  <si>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</si>
  <si>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</si>
  <si>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</si>
  <si>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</si>
  <si>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</si>
  <si>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</si>
  <si>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</si>
  <si>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</si>
  <si>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</si>
  <si>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</si>
  <si>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</si>
  <si>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</si>
  <si>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</si>
  <si>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</si>
  <si>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</si>
  <si>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</si>
  <si>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</si>
  <si>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</si>
  <si>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</si>
  <si>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</si>
  <si>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</si>
  <si>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</si>
  <si>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</si>
  <si>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</si>
  <si>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</si>
  <si>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</si>
  <si>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</si>
  <si>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</si>
  <si>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</si>
  <si>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</si>
  <si>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</si>
  <si>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</si>
  <si>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</si>
  <si>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</si>
  <si>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</si>
  <si>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2026-06-22 20:02:49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</si>
  <si>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</si>
  <si>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</si>
  <si>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</si>
  <si>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</si>
  <si>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</si>
  <si>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</si>
  <si>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</si>
  <si>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</si>
  <si>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</si>
  <si>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</si>
  <si>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</si>
  <si>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</si>
  <si>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</si>
  <si>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</si>
  <si>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</si>
  <si>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</si>
  <si>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</si>
  <si>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</si>
  <si>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</si>
  <si>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</si>
  <si>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</si>
  <si>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</si>
  <si>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</si>
  <si>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</si>
  <si>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</si>
  <si>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</si>
  <si>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</si>
  <si>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</si>
  <si>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</si>
  <si>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</si>
  <si>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</si>
  <si>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</si>
  <si>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</si>
  <si>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</si>
  <si>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</si>
  <si>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</si>
  <si>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</si>
  <si>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</si>
  <si>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</si>
  <si>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</si>
  <si>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</si>
  <si>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</si>
  <si>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</si>
  <si>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</si>
  <si>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</si>
  <si>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</si>
  <si>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</si>
  <si>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</si>
  <si>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</si>
  <si>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</si>
  <si>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</si>
  <si>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</si>
  <si>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</si>
  <si>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</si>
  <si>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</si>
  <si>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</si>
  <si>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</si>
  <si>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portfolio-agent -- evidence-mode</t>
  </si>
  <si>
    <t>Open the portfolio guide...</t>
  </si>
  <si>
    <t>Portfolio Guide</t>
  </si>
  <si>
    <t>Grounded in selected projects, CV routes, and live GitHub context when available.</t>
  </si>
  <si>
    <t>Use /help, paste a role after /fit, or ask to compare two systems.</t>
  </si>
  <si>
    <t>Initial and greeting lines for the terminal experience.</t>
  </si>
  <si>
    <t>group</t>
  </si>
  <si>
    <t>color</t>
  </si>
  <si>
    <t>&gt;&gt;&gt; PORTFOLIO_AGENT: READY</t>
  </si>
  <si>
    <t>INITIAL / READY</t>
  </si>
  <si>
    <t>&gt;&gt;&gt; CONTEXT: PROJECTS + CV + LIVE_GITHUB</t>
  </si>
  <si>
    <t>&gt;&gt;&gt; MODES: ASK / COMPARE / RECRUITER_FIT</t>
  </si>
  <si>
    <t>&gt;&gt;&gt; COMMANDS: /help /fit /projects /cv /github /contact</t>
  </si>
  <si>
    <t>&gt; GUEST_SESSION READY</t>
  </si>
  <si>
    <t>GREETING / READY</t>
  </si>
  <si>
    <t>&gt; ASK NATURALLY OR RUN /HELP</t>
  </si>
  <si>
    <t>Tooltip bullets that explain what the terminal can do.</t>
  </si>
  <si>
    <t>Maps role requirements to specific project evidence and honest gaps.</t>
  </si>
  <si>
    <t>Compares projects, architecture choices, and engineering trade-offs.</t>
  </si>
  <si>
    <t>Opens the CV, selected systems, GitHub, stack, and contact routes.</t>
  </si>
  <si>
    <t>Uses live GitHub activity when available and falls back to portfolio evidence.</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</si>
  <si>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</si>
  <si>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</si>
  <si>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</si>
  <si>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</si>
  <si>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</si>
  <si>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</si>
  <si>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</si>
  <si>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</si>
  <si>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</si>
  <si>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</si>
  <si>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</si>
  <si>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</si>
  <si>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</si>
  <si>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</si>
  <si>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</si>
  <si>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</si>
  <si>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</si>
  <si>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</si>
  <si>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</si>
  <si>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</si>
  <si>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</si>
  <si>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</si>
  <si>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</si>
  <si>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</si>
  <si>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</si>
  <si>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</si>
  <si>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</si>
  <si>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</si>
  <si>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</si>
  <si>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</si>
  <si>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</si>
  <si>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</si>
  <si>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</si>
  <si>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</si>
  <si>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</si>
  <si>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</si>
  <si>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</si>
  <si>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</si>
  <si>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</si>
  <si>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</si>
  <si>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</si>
  <si>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</si>
  <si>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</si>
  <si>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</si>
  <si>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</si>
  <si>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</si>
  <si>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</si>
  <si>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</si>
  <si>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</si>
  <si>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</si>
  <si>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</si>
  <si>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</si>
  <si>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</si>
  <si>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</si>
  <si>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</si>
  <si>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</si>
  <si>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</si>
  <si>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</si>
  <si>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</si>
  <si>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</si>
  <si>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</si>
  <si>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</si>
  <si>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</si>
  <si>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</si>
  <si>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</si>
  <si>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</si>
  <si>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</si>
  <si>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</si>
  <si>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</si>
  <si>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</si>
  <si>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</si>
  <si>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</si>
  <si>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</si>
  <si>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</si>
  <si>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</si>
  <si>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</si>
  <si>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</si>
  <si>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</si>
  <si>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</si>
  <si>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</si>
  <si>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</si>
  <si>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</si>
  <si>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</si>
  <si>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</si>
  <si>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</si>
  <si>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</si>
  <si>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</si>
  <si>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</si>
  <si>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</si>
  <si>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</si>
  <si>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</si>
  <si>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</si>
  <si>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</si>
  <si>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</si>
  <si>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</si>
  <si>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</si>
  <si>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</si>
  <si>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</si>
  <si>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</si>
  <si>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</si>
  <si>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</si>
  <si>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</si>
  <si>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</si>
  <si>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</si>
  <si>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</si>
  <si>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</si>
  <si>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</si>
  <si>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</si>
  <si>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</si>
  <si>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</si>
  <si>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</si>
  <si>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</si>
  <si>
    <t>USB Exfiltration Tool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</si>
</sst>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s>
  <cellStyleXfs count="1">
    <xf numFmtId="0" fontId="0" fillId="0" borderId="0"/>
  </cellStyleXfs>
  <cellXfs count="101">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11" fillId="5" borderId="1" xfId="0" applyFont="1" applyFill="1" applyBorder="1" applyAlignment="1">
      <alignment horizontal="left" vertical="center"/>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5" activePane="bottomLeft" state="frozen"/>
      <selection pane="bottomLeft" activeCell="I20" sqref="I20:O20"/>
    </sheetView>
  </sheetViews>
  <sheetFormatPr baseColWidth="10" defaultColWidth="8.88671875" defaultRowHeight="14.4" x14ac:dyDescent="0.3"/>
  <cols>
    <col min="1" max="14" width="14" customWidth="1"/>
    <col min="15" max="15" width="15" customWidth="1"/>
  </cols>
  <sheetData>
    <row r="1" spans="1:15" ht="31.95" customHeight="1" x14ac:dyDescent="0.3">
      <c r="A1" s="40" t="s">
        <v>0</v>
      </c>
      <c r="B1" s="40"/>
      <c r="C1" s="40"/>
      <c r="D1" s="40"/>
      <c r="E1" s="40"/>
      <c r="F1" s="40"/>
      <c r="G1" s="40"/>
      <c r="H1" s="40"/>
      <c r="I1" s="40"/>
      <c r="J1" s="40"/>
      <c r="K1" s="40"/>
      <c r="L1" s="40"/>
      <c r="M1" s="40"/>
      <c r="N1" s="40"/>
      <c r="O1" s="40"/>
    </row>
    <row r="2" spans="1:15" ht="22.05" customHeight="1" x14ac:dyDescent="0.3">
      <c r="A2" s="41" t="s">
        <v>1</v>
      </c>
      <c r="B2" s="41"/>
      <c r="C2" s="41"/>
      <c r="D2" s="41"/>
      <c r="E2" s="41"/>
      <c r="F2" s="41"/>
      <c r="G2" s="41"/>
      <c r="H2" s="41"/>
      <c r="I2" s="41"/>
      <c r="J2" s="41"/>
      <c r="K2" s="41"/>
      <c r="L2" s="41"/>
      <c r="M2" s="41"/>
      <c r="N2" s="41"/>
      <c r="O2" s="41"/>
    </row>
    <row r="3" spans="1:15" ht="19.95" customHeight="1" x14ac:dyDescent="0.3">
      <c r="A3" s="42" t="s">
        <v>2</v>
      </c>
      <c r="B3" s="42"/>
      <c r="C3" s="42"/>
      <c r="D3" s="42"/>
      <c r="E3" s="42"/>
      <c r="F3" s="42"/>
      <c r="G3" s="42"/>
      <c r="H3" s="42"/>
      <c r="I3" s="42"/>
      <c r="J3" s="42"/>
      <c r="K3" s="42"/>
      <c r="L3" s="42"/>
      <c r="M3" s="42"/>
      <c r="N3" s="42"/>
      <c r="O3" s="42"/>
    </row>
    <row r="4" spans="1:15" ht="19.95" customHeight="1" x14ac:dyDescent="0.3">
      <c r="A4" s="43" t="s">
        <v>3</v>
      </c>
      <c r="B4" s="43"/>
      <c r="C4" s="43"/>
      <c r="D4" s="43"/>
      <c r="E4" s="43"/>
      <c r="F4" s="43"/>
      <c r="G4" s="43"/>
      <c r="H4" s="43"/>
      <c r="I4" s="43"/>
      <c r="J4" s="43"/>
      <c r="K4" s="43"/>
      <c r="L4" s="43"/>
      <c r="M4" s="43"/>
      <c r="N4" s="43"/>
      <c r="O4" s="43"/>
    </row>
    <row r="5" spans="1:15" ht="24" customHeight="1" x14ac:dyDescent="0.3">
      <c r="A5" s="44" t="s">
        <v>4</v>
      </c>
      <c r="B5" s="44"/>
      <c r="C5" s="44"/>
      <c r="D5" s="44"/>
      <c r="E5" s="44"/>
      <c r="F5" s="45" t="s">
        <v>5</v>
      </c>
      <c r="G5" s="45"/>
      <c r="H5" s="45"/>
      <c r="I5" s="45"/>
      <c r="J5" s="45"/>
      <c r="K5" s="46" t="s">
        <v>6</v>
      </c>
      <c r="L5" s="46"/>
      <c r="M5" s="46"/>
      <c r="N5" s="46"/>
      <c r="O5" s="46"/>
    </row>
    <row r="6" spans="1:15" ht="21" customHeight="1" x14ac:dyDescent="0.3">
      <c r="A6" s="47" t="s">
        <v>7</v>
      </c>
      <c r="B6" s="47"/>
      <c r="C6" s="47"/>
      <c r="D6" s="47"/>
      <c r="E6" s="47"/>
      <c r="F6" s="48" t="s">
        <v>8</v>
      </c>
      <c r="G6" s="48"/>
      <c r="H6" s="48"/>
      <c r="I6" s="48"/>
      <c r="J6" s="48"/>
      <c r="K6" s="49" t="s">
        <v>9</v>
      </c>
      <c r="L6" s="49"/>
      <c r="M6" s="49"/>
      <c r="N6" s="49"/>
      <c r="O6" s="49"/>
    </row>
    <row r="7" spans="1:15" ht="21" customHeight="1" x14ac:dyDescent="0.3">
      <c r="A7" s="47"/>
      <c r="B7" s="47"/>
      <c r="C7" s="47"/>
      <c r="D7" s="47"/>
      <c r="E7" s="47"/>
      <c r="F7" s="48"/>
      <c r="G7" s="48"/>
      <c r="H7" s="48"/>
      <c r="I7" s="48"/>
      <c r="J7" s="48"/>
      <c r="K7" s="49"/>
      <c r="L7" s="49"/>
      <c r="M7" s="49"/>
      <c r="N7" s="49"/>
      <c r="O7" s="49"/>
    </row>
    <row r="8" spans="1:15" ht="21" customHeight="1" x14ac:dyDescent="0.3">
      <c r="A8" s="50" t="s">
        <v>10</v>
      </c>
      <c r="B8" s="50"/>
      <c r="C8" s="50"/>
      <c r="D8" s="51" t="s">
        <v>11</v>
      </c>
      <c r="E8" s="51"/>
      <c r="F8" s="52" t="s">
        <v>12</v>
      </c>
      <c r="G8" s="52"/>
      <c r="H8" s="52"/>
      <c r="I8" s="53" t="s">
        <v>11</v>
      </c>
      <c r="J8" s="53"/>
      <c r="K8" s="54" t="s">
        <v>13</v>
      </c>
      <c r="L8" s="54"/>
      <c r="M8" s="54"/>
      <c r="N8" s="55" t="s">
        <v>11</v>
      </c>
      <c r="O8" s="55"/>
    </row>
    <row r="9" spans="1:15" ht="21" customHeight="1" x14ac:dyDescent="0.3">
      <c r="A9" s="50"/>
      <c r="B9" s="50"/>
      <c r="C9" s="50"/>
      <c r="D9" s="51"/>
      <c r="E9" s="51"/>
      <c r="F9" s="52"/>
      <c r="G9" s="52"/>
      <c r="H9" s="52"/>
      <c r="I9" s="53"/>
      <c r="J9" s="53"/>
      <c r="K9" s="54"/>
      <c r="L9" s="54"/>
      <c r="M9" s="54"/>
      <c r="N9" s="55"/>
      <c r="O9" s="55"/>
    </row>
    <row r="10" spans="1:15" ht="24" customHeight="1" x14ac:dyDescent="0.3">
      <c r="A10" s="44" t="s">
        <v>14</v>
      </c>
      <c r="B10" s="44"/>
      <c r="C10" s="44"/>
      <c r="D10" s="44"/>
      <c r="E10" s="44"/>
      <c r="F10" s="56" t="s">
        <v>15</v>
      </c>
      <c r="G10" s="56"/>
      <c r="H10" s="56"/>
      <c r="I10" s="56"/>
      <c r="J10" s="56"/>
      <c r="K10" s="57" t="s">
        <v>16</v>
      </c>
      <c r="L10" s="57"/>
      <c r="M10" s="57"/>
      <c r="N10" s="57"/>
      <c r="O10" s="57"/>
    </row>
    <row r="11" spans="1:15" ht="21" customHeight="1" x14ac:dyDescent="0.3">
      <c r="A11" s="47" t="s">
        <v>17</v>
      </c>
      <c r="B11" s="47"/>
      <c r="C11" s="47"/>
      <c r="D11" s="47"/>
      <c r="E11" s="47"/>
      <c r="F11" s="58" t="s">
        <v>18</v>
      </c>
      <c r="G11" s="58"/>
      <c r="H11" s="58"/>
      <c r="I11" s="58"/>
      <c r="J11" s="58"/>
      <c r="K11" s="59" t="s">
        <v>19</v>
      </c>
      <c r="L11" s="59"/>
      <c r="M11" s="59"/>
      <c r="N11" s="59"/>
      <c r="O11" s="59"/>
    </row>
    <row r="12" spans="1:15" ht="21" customHeight="1" x14ac:dyDescent="0.3">
      <c r="A12" s="47"/>
      <c r="B12" s="47"/>
      <c r="C12" s="47"/>
      <c r="D12" s="47"/>
      <c r="E12" s="47"/>
      <c r="F12" s="58"/>
      <c r="G12" s="58"/>
      <c r="H12" s="58"/>
      <c r="I12" s="58"/>
      <c r="J12" s="58"/>
      <c r="K12" s="59"/>
      <c r="L12" s="59"/>
      <c r="M12" s="59"/>
      <c r="N12" s="59"/>
      <c r="O12" s="59"/>
    </row>
    <row r="13" spans="1:15" ht="21" customHeight="1" x14ac:dyDescent="0.3">
      <c r="A13" s="50" t="s">
        <v>20</v>
      </c>
      <c r="B13" s="50"/>
      <c r="C13" s="50"/>
      <c r="D13" s="51" t="s">
        <v>11</v>
      </c>
      <c r="E13" s="51"/>
      <c r="F13" s="60" t="s">
        <v>21</v>
      </c>
      <c r="G13" s="60"/>
      <c r="H13" s="60"/>
      <c r="I13" s="61" t="s">
        <v>11</v>
      </c>
      <c r="J13" s="61"/>
      <c r="K13" s="62" t="s">
        <v>22</v>
      </c>
      <c r="L13" s="62"/>
      <c r="M13" s="62"/>
      <c r="N13" s="63" t="s">
        <v>11</v>
      </c>
      <c r="O13" s="63"/>
    </row>
    <row r="14" spans="1:15" ht="21" customHeight="1" x14ac:dyDescent="0.3">
      <c r="A14" s="50"/>
      <c r="B14" s="50"/>
      <c r="C14" s="50"/>
      <c r="D14" s="51"/>
      <c r="E14" s="51"/>
      <c r="F14" s="60"/>
      <c r="G14" s="60"/>
      <c r="H14" s="60"/>
      <c r="I14" s="61"/>
      <c r="J14" s="61"/>
      <c r="K14" s="62"/>
      <c r="L14" s="62"/>
      <c r="M14" s="62"/>
      <c r="N14" s="63"/>
      <c r="O14" s="63"/>
    </row>
    <row r="15" spans="1:15" x14ac:dyDescent="0.3">
      <c r="A15" s="2"/>
      <c r="B15" s="2"/>
      <c r="C15" s="2"/>
      <c r="D15" s="2"/>
      <c r="E15" s="2"/>
      <c r="F15" s="2"/>
      <c r="G15" s="2"/>
      <c r="H15" s="2"/>
      <c r="I15" s="2"/>
      <c r="J15" s="2"/>
      <c r="K15" s="2"/>
      <c r="L15" s="2"/>
      <c r="M15" s="2"/>
      <c r="N15" s="2"/>
      <c r="O15" s="2"/>
    </row>
    <row r="16" spans="1:15" ht="22.05" customHeight="1" x14ac:dyDescent="0.3">
      <c r="A16" s="64" t="s">
        <v>23</v>
      </c>
      <c r="B16" s="64"/>
      <c r="C16" s="64"/>
      <c r="D16" s="64"/>
      <c r="E16" s="64"/>
      <c r="F16" s="64"/>
      <c r="G16" s="64"/>
      <c r="H16" s="64"/>
      <c r="I16" s="65" t="s">
        <v>24</v>
      </c>
      <c r="J16" s="65"/>
      <c r="K16" s="65"/>
      <c r="L16" s="65"/>
      <c r="M16" s="65"/>
      <c r="N16" s="65"/>
      <c r="O16" s="65"/>
    </row>
    <row r="17" spans="1:15" ht="22.05" customHeight="1" x14ac:dyDescent="0.3">
      <c r="A17" s="66" t="s">
        <v>25</v>
      </c>
      <c r="B17" s="66"/>
      <c r="C17" s="66"/>
      <c r="D17" s="66"/>
      <c r="E17" s="66"/>
      <c r="F17" s="66"/>
      <c r="G17" s="66"/>
      <c r="H17" s="66"/>
      <c r="I17" s="67" t="s">
        <v>26</v>
      </c>
      <c r="J17" s="67"/>
      <c r="K17" s="67"/>
      <c r="L17" s="67"/>
      <c r="M17" s="67"/>
      <c r="N17" s="67"/>
      <c r="O17" s="67"/>
    </row>
    <row r="18" spans="1:15" ht="22.05" customHeight="1" x14ac:dyDescent="0.3">
      <c r="A18" s="66"/>
      <c r="B18" s="66"/>
      <c r="C18" s="66"/>
      <c r="D18" s="66"/>
      <c r="E18" s="66"/>
      <c r="F18" s="66"/>
      <c r="G18" s="66"/>
      <c r="H18" s="66"/>
      <c r="I18" s="68" t="s">
        <v>27</v>
      </c>
      <c r="J18" s="68"/>
      <c r="K18" s="68"/>
      <c r="L18" s="68"/>
      <c r="M18" s="68"/>
      <c r="N18" s="68"/>
      <c r="O18" s="68"/>
    </row>
    <row r="19" spans="1:15" ht="22.05" customHeight="1" x14ac:dyDescent="0.3">
      <c r="A19" s="66"/>
      <c r="B19" s="66"/>
      <c r="C19" s="66"/>
      <c r="D19" s="66"/>
      <c r="E19" s="66"/>
      <c r="F19" s="66"/>
      <c r="G19" s="66"/>
      <c r="H19" s="66"/>
      <c r="I19" s="68" t="s">
        <v>28</v>
      </c>
      <c r="J19" s="68"/>
      <c r="K19" s="68"/>
      <c r="L19" s="68"/>
      <c r="M19" s="68"/>
      <c r="N19" s="68"/>
      <c r="O19" s="68"/>
    </row>
    <row r="20" spans="1:15" ht="22.05" customHeight="1" x14ac:dyDescent="0.3">
      <c r="A20" s="66"/>
      <c r="B20" s="66"/>
      <c r="C20" s="66"/>
      <c r="D20" s="66"/>
      <c r="E20" s="66"/>
      <c r="F20" s="66"/>
      <c r="G20" s="66"/>
      <c r="H20" s="66"/>
      <c r="I20" s="68" t="s">
        <v>29</v>
      </c>
      <c r="J20" s="68"/>
      <c r="K20" s="68"/>
      <c r="L20" s="68"/>
      <c r="M20" s="68"/>
      <c r="N20" s="68"/>
      <c r="O20" s="68"/>
    </row>
    <row r="21" spans="1:15" ht="22.05" customHeight="1" x14ac:dyDescent="0.3">
      <c r="A21" s="66"/>
      <c r="B21" s="66"/>
      <c r="C21" s="66"/>
      <c r="D21" s="66"/>
      <c r="E21" s="66"/>
      <c r="F21" s="66"/>
      <c r="G21" s="66"/>
      <c r="H21" s="66"/>
      <c r="I21" s="68" t="s">
        <v>30</v>
      </c>
      <c r="J21" s="68"/>
      <c r="K21" s="68"/>
      <c r="L21" s="68"/>
      <c r="M21" s="68"/>
      <c r="N21" s="68"/>
      <c r="O21" s="68"/>
    </row>
    <row r="22" spans="1:15" ht="22.05" customHeight="1" x14ac:dyDescent="0.3">
      <c r="A22" s="2"/>
      <c r="B22" s="2"/>
      <c r="C22" s="2"/>
      <c r="D22" s="2"/>
      <c r="E22" s="2"/>
      <c r="F22" s="2"/>
      <c r="G22" s="2"/>
      <c r="H22" s="2"/>
      <c r="I22" s="2"/>
      <c r="J22" s="2"/>
      <c r="K22" s="2"/>
      <c r="L22" s="2"/>
      <c r="M22" s="2"/>
      <c r="N22" s="2"/>
      <c r="O22" s="2"/>
    </row>
    <row r="23" spans="1:15" ht="22.05" customHeight="1" x14ac:dyDescent="0.3">
      <c r="A23" s="69" t="s">
        <v>31</v>
      </c>
      <c r="B23" s="69"/>
      <c r="C23" s="69"/>
      <c r="D23" s="69"/>
      <c r="E23" s="69"/>
      <c r="F23" s="69"/>
      <c r="G23" s="69"/>
      <c r="H23" s="69"/>
      <c r="I23" s="69"/>
      <c r="J23" s="69"/>
      <c r="K23" s="69"/>
      <c r="L23" s="69"/>
      <c r="M23" s="69"/>
      <c r="N23" s="69"/>
      <c r="O23" s="69"/>
    </row>
    <row r="24" spans="1:15" ht="22.05" customHeight="1" x14ac:dyDescent="0.3">
      <c r="A24" s="70" t="s">
        <v>32</v>
      </c>
      <c r="B24" s="70"/>
      <c r="C24" s="70"/>
      <c r="D24" s="70" t="s">
        <v>33</v>
      </c>
      <c r="E24" s="70"/>
      <c r="F24" s="70"/>
      <c r="G24" s="70" t="s">
        <v>34</v>
      </c>
      <c r="H24" s="70"/>
      <c r="I24" s="70"/>
      <c r="J24" s="70" t="s">
        <v>35</v>
      </c>
      <c r="K24" s="70"/>
      <c r="L24" s="70"/>
      <c r="M24" s="70" t="s">
        <v>36</v>
      </c>
      <c r="N24" s="70"/>
      <c r="O24" s="70"/>
    </row>
    <row r="25" spans="1:15" ht="22.05" customHeight="1" x14ac:dyDescent="0.3">
      <c r="A25" s="71" t="s">
        <v>37</v>
      </c>
      <c r="B25" s="71"/>
      <c r="C25" s="71"/>
      <c r="D25" s="71" t="s">
        <v>38</v>
      </c>
      <c r="E25" s="71"/>
      <c r="F25" s="71"/>
      <c r="G25" s="71" t="s">
        <v>39</v>
      </c>
      <c r="H25" s="71"/>
      <c r="I25" s="71"/>
      <c r="J25" s="71" t="s">
        <v>40</v>
      </c>
      <c r="K25" s="71"/>
      <c r="L25" s="71"/>
      <c r="M25" s="71" t="s">
        <v>41</v>
      </c>
      <c r="N25" s="71"/>
      <c r="O25" s="71"/>
    </row>
    <row r="26" spans="1:15" ht="22.05" customHeight="1" x14ac:dyDescent="0.3">
      <c r="A26" s="72" t="s">
        <v>42</v>
      </c>
      <c r="B26" s="72"/>
      <c r="C26" s="72"/>
      <c r="D26" s="72" t="s">
        <v>43</v>
      </c>
      <c r="E26" s="72"/>
      <c r="F26" s="72"/>
      <c r="G26" s="72" t="s">
        <v>44</v>
      </c>
      <c r="H26" s="72"/>
      <c r="I26" s="72"/>
      <c r="J26" s="72" t="s">
        <v>45</v>
      </c>
      <c r="K26" s="72"/>
      <c r="L26" s="72"/>
      <c r="M26" s="72" t="s">
        <v>46</v>
      </c>
      <c r="N26" s="72"/>
      <c r="O26" s="72"/>
    </row>
    <row r="27" spans="1:15" ht="22.05" customHeight="1" x14ac:dyDescent="0.3">
      <c r="A27" s="72" t="s">
        <v>47</v>
      </c>
      <c r="B27" s="72"/>
      <c r="C27" s="72"/>
      <c r="D27" s="72" t="s">
        <v>48</v>
      </c>
      <c r="E27" s="72"/>
      <c r="F27" s="72"/>
      <c r="G27" s="72" t="s">
        <v>49</v>
      </c>
      <c r="H27" s="72"/>
      <c r="I27" s="72"/>
      <c r="J27" s="72" t="s">
        <v>50</v>
      </c>
      <c r="K27" s="72"/>
      <c r="L27" s="72"/>
      <c r="M27" s="72" t="s">
        <v>51</v>
      </c>
      <c r="N27" s="72"/>
      <c r="O27" s="72"/>
    </row>
    <row r="28" spans="1:15" ht="22.05" customHeight="1" x14ac:dyDescent="0.3">
      <c r="A28" s="72" t="s">
        <v>52</v>
      </c>
      <c r="B28" s="72"/>
      <c r="C28" s="72"/>
      <c r="D28" s="72" t="s">
        <v>53</v>
      </c>
      <c r="E28" s="72"/>
      <c r="F28" s="72"/>
      <c r="G28" s="72" t="s">
        <v>54</v>
      </c>
      <c r="H28" s="72"/>
      <c r="I28" s="72"/>
      <c r="J28" s="72" t="s">
        <v>55</v>
      </c>
      <c r="K28" s="72"/>
      <c r="L28" s="72"/>
      <c r="M28" s="72" t="s">
        <v>56</v>
      </c>
      <c r="N28" s="72"/>
      <c r="O28" s="72"/>
    </row>
    <row r="29" spans="1:15" ht="22.05" customHeight="1" x14ac:dyDescent="0.3">
      <c r="A29" s="3"/>
      <c r="B29" s="4"/>
      <c r="C29" s="4"/>
      <c r="D29" s="3"/>
      <c r="E29" s="4"/>
      <c r="F29" s="4"/>
      <c r="G29" s="3"/>
      <c r="H29" s="4"/>
      <c r="I29" s="4"/>
      <c r="J29" s="72" t="s">
        <v>57</v>
      </c>
      <c r="K29" s="72"/>
      <c r="L29" s="72"/>
      <c r="M29" s="72" t="s">
        <v>58</v>
      </c>
      <c r="N29" s="72"/>
      <c r="O29" s="72"/>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J29:L29"/>
    <mergeCell ref="M29:O29"/>
    <mergeCell ref="A28:C28"/>
    <mergeCell ref="D28:F28"/>
    <mergeCell ref="G28:I28"/>
    <mergeCell ref="J28:L28"/>
    <mergeCell ref="M28:O28"/>
    <mergeCell ref="A27:C27"/>
    <mergeCell ref="D27:F27"/>
    <mergeCell ref="G27:I27"/>
    <mergeCell ref="J27:L27"/>
    <mergeCell ref="M27:O27"/>
    <mergeCell ref="A26:C26"/>
    <mergeCell ref="D26:F26"/>
    <mergeCell ref="G26:I26"/>
    <mergeCell ref="J26:L26"/>
    <mergeCell ref="M26:O26"/>
    <mergeCell ref="A25:C25"/>
    <mergeCell ref="D25:F25"/>
    <mergeCell ref="G25:I25"/>
    <mergeCell ref="J25:L25"/>
    <mergeCell ref="M25:O25"/>
    <mergeCell ref="A23:O23"/>
    <mergeCell ref="A24:C24"/>
    <mergeCell ref="D24:F24"/>
    <mergeCell ref="G24:I24"/>
    <mergeCell ref="J24:L24"/>
    <mergeCell ref="M24:O24"/>
    <mergeCell ref="N13:O14"/>
    <mergeCell ref="A16:H16"/>
    <mergeCell ref="I16:O16"/>
    <mergeCell ref="A17:H21"/>
    <mergeCell ref="I17:O17"/>
    <mergeCell ref="I18:O18"/>
    <mergeCell ref="I19:O19"/>
    <mergeCell ref="I20:O20"/>
    <mergeCell ref="I21:O21"/>
    <mergeCell ref="A13:C14"/>
    <mergeCell ref="D13:E14"/>
    <mergeCell ref="F13:H14"/>
    <mergeCell ref="I13:J14"/>
    <mergeCell ref="K13:M14"/>
    <mergeCell ref="A10:E10"/>
    <mergeCell ref="F10:J10"/>
    <mergeCell ref="K10:O10"/>
    <mergeCell ref="A11:E12"/>
    <mergeCell ref="F11:J12"/>
    <mergeCell ref="K11:O12"/>
    <mergeCell ref="A6:E7"/>
    <mergeCell ref="F6:J7"/>
    <mergeCell ref="K6:O7"/>
    <mergeCell ref="A8:C9"/>
    <mergeCell ref="D8:E9"/>
    <mergeCell ref="F8:H9"/>
    <mergeCell ref="I8:J9"/>
    <mergeCell ref="K8:M9"/>
    <mergeCell ref="N8:O9"/>
    <mergeCell ref="A1:O1"/>
    <mergeCell ref="A2:O2"/>
    <mergeCell ref="A3:O3"/>
    <mergeCell ref="A4:O4"/>
    <mergeCell ref="A5:E5"/>
    <mergeCell ref="F5:J5"/>
    <mergeCell ref="K5:O5"/>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sheetView>
  </sheetViews>
  <sheetFormatPr baseColWidth="10" defaultColWidth="8.88671875" defaultRowHeight="14.4" x14ac:dyDescent="0.3"/>
  <cols>
    <col min="1" max="12" width="15" customWidth="1"/>
  </cols>
  <sheetData>
    <row r="1" spans="1:12" ht="30" customHeight="1" x14ac:dyDescent="0.3">
      <c r="A1" s="73" t="s">
        <v>27</v>
      </c>
      <c r="B1" s="73"/>
      <c r="C1" s="73"/>
      <c r="D1" s="73"/>
      <c r="E1" s="73"/>
      <c r="F1" s="73"/>
      <c r="G1" s="73"/>
      <c r="H1" s="73"/>
      <c r="I1" s="73"/>
      <c r="J1" s="73"/>
      <c r="K1" s="73"/>
      <c r="L1" s="73"/>
    </row>
    <row r="2" spans="1:12" ht="22.05" customHeight="1" x14ac:dyDescent="0.3">
      <c r="A2" s="74" t="s">
        <v>59</v>
      </c>
      <c r="B2" s="74"/>
      <c r="C2" s="74"/>
      <c r="D2" s="74"/>
      <c r="E2" s="74"/>
      <c r="F2" s="74"/>
      <c r="G2" s="74"/>
      <c r="H2" s="74"/>
      <c r="I2" s="74"/>
      <c r="J2" s="74"/>
      <c r="K2" s="74"/>
      <c r="L2" s="74"/>
    </row>
    <row r="3" spans="1:12" ht="19.95" customHeight="1" x14ac:dyDescent="0.3">
      <c r="A3" s="75" t="s">
        <v>60</v>
      </c>
      <c r="B3" s="75"/>
      <c r="C3" s="75"/>
      <c r="D3" s="75"/>
      <c r="E3" s="75"/>
      <c r="F3" s="75"/>
      <c r="G3" s="75"/>
      <c r="H3" s="75"/>
      <c r="I3" s="75"/>
      <c r="J3" s="75"/>
      <c r="K3" s="75"/>
      <c r="L3" s="75"/>
    </row>
    <row r="4" spans="1:12" ht="19.95" customHeight="1" x14ac:dyDescent="0.3">
      <c r="A4" s="68" t="s">
        <v>61</v>
      </c>
      <c r="B4" s="68"/>
      <c r="C4" s="43" t="s">
        <v>62</v>
      </c>
      <c r="D4" s="43"/>
      <c r="E4" s="43"/>
      <c r="F4" s="43"/>
      <c r="G4" s="43"/>
      <c r="H4" s="43"/>
      <c r="I4" s="43"/>
      <c r="J4" s="43"/>
      <c r="K4" s="43"/>
      <c r="L4" s="43"/>
    </row>
    <row r="5" spans="1:12" ht="19.95" customHeight="1" x14ac:dyDescent="0.3">
      <c r="A5" s="68" t="s">
        <v>28</v>
      </c>
      <c r="B5" s="68"/>
      <c r="C5" s="68" t="s">
        <v>29</v>
      </c>
      <c r="D5" s="68"/>
      <c r="E5" s="68" t="s">
        <v>30</v>
      </c>
      <c r="F5" s="68"/>
      <c r="G5" s="68" t="s">
        <v>63</v>
      </c>
      <c r="H5" s="68"/>
      <c r="I5" s="68" t="s">
        <v>64</v>
      </c>
      <c r="J5" s="68"/>
      <c r="K5" s="2"/>
      <c r="L5" s="2"/>
    </row>
    <row r="6" spans="1:12" ht="22.05" customHeight="1" x14ac:dyDescent="0.3">
      <c r="A6" s="2"/>
      <c r="B6" s="2"/>
      <c r="C6" s="2"/>
      <c r="D6" s="2"/>
      <c r="E6" s="2"/>
      <c r="F6" s="2"/>
      <c r="G6" s="2"/>
      <c r="H6" s="2"/>
      <c r="I6" s="2"/>
      <c r="J6" s="2"/>
      <c r="K6" s="2"/>
      <c r="L6" s="2"/>
    </row>
    <row r="7" spans="1:12" ht="22.05" customHeight="1" x14ac:dyDescent="0.3">
      <c r="A7" s="76" t="s">
        <v>65</v>
      </c>
      <c r="B7" s="76"/>
      <c r="C7" s="76"/>
      <c r="D7" s="76"/>
      <c r="E7" s="77" t="s">
        <v>66</v>
      </c>
      <c r="F7" s="77"/>
      <c r="G7" s="77"/>
      <c r="H7" s="77"/>
      <c r="I7" s="78" t="s">
        <v>67</v>
      </c>
      <c r="J7" s="78"/>
      <c r="K7" s="78"/>
      <c r="L7" s="78"/>
    </row>
    <row r="8" spans="1:12" ht="22.05" customHeight="1" x14ac:dyDescent="0.3">
      <c r="A8" s="79" t="s">
        <v>68</v>
      </c>
      <c r="B8" s="79"/>
      <c r="C8" s="79"/>
      <c r="D8" s="79"/>
      <c r="E8" s="80" t="s">
        <v>69</v>
      </c>
      <c r="F8" s="80"/>
      <c r="G8" s="80"/>
      <c r="H8" s="80"/>
      <c r="I8" s="81" t="s">
        <v>70</v>
      </c>
      <c r="J8" s="81"/>
      <c r="K8" s="81"/>
      <c r="L8" s="81"/>
    </row>
    <row r="9" spans="1:12" ht="22.05" customHeight="1" x14ac:dyDescent="0.3">
      <c r="A9" s="79"/>
      <c r="B9" s="79"/>
      <c r="C9" s="79"/>
      <c r="D9" s="79"/>
      <c r="E9" s="80"/>
      <c r="F9" s="80"/>
      <c r="G9" s="80"/>
      <c r="H9" s="80"/>
      <c r="I9" s="81"/>
      <c r="J9" s="81"/>
      <c r="K9" s="81"/>
      <c r="L9" s="81"/>
    </row>
    <row r="10" spans="1:12" ht="22.05" customHeight="1" x14ac:dyDescent="0.3">
      <c r="A10" s="79"/>
      <c r="B10" s="79"/>
      <c r="C10" s="79"/>
      <c r="D10" s="79"/>
      <c r="E10" s="80"/>
      <c r="F10" s="80"/>
      <c r="G10" s="80"/>
      <c r="H10" s="80"/>
      <c r="I10" s="81"/>
      <c r="J10" s="81"/>
      <c r="K10" s="81"/>
      <c r="L10" s="81"/>
    </row>
    <row r="11" spans="1:12" ht="22.05" customHeight="1" x14ac:dyDescent="0.3">
      <c r="A11" s="79"/>
      <c r="B11" s="79"/>
      <c r="C11" s="79"/>
      <c r="D11" s="79"/>
      <c r="E11" s="80"/>
      <c r="F11" s="80"/>
      <c r="G11" s="80"/>
      <c r="H11" s="80"/>
      <c r="I11" s="81"/>
      <c r="J11" s="81"/>
      <c r="K11" s="81"/>
      <c r="L11" s="81"/>
    </row>
    <row r="12" spans="1:12" ht="22.05" customHeight="1" x14ac:dyDescent="0.3">
      <c r="A12" s="2"/>
      <c r="B12" s="2"/>
      <c r="C12" s="2"/>
      <c r="D12" s="2"/>
      <c r="E12" s="2"/>
      <c r="F12" s="2"/>
      <c r="G12" s="2"/>
      <c r="H12" s="2"/>
      <c r="I12" s="2"/>
      <c r="J12" s="2"/>
      <c r="K12" s="2"/>
      <c r="L12" s="2"/>
    </row>
    <row r="13" spans="1:12" ht="22.05" customHeight="1" x14ac:dyDescent="0.3">
      <c r="A13" s="82" t="s">
        <v>71</v>
      </c>
      <c r="B13" s="82"/>
      <c r="C13" s="82"/>
      <c r="D13" s="82"/>
      <c r="E13" s="83" t="s">
        <v>72</v>
      </c>
      <c r="F13" s="83"/>
      <c r="G13" s="83"/>
      <c r="H13" s="83"/>
      <c r="I13" s="78" t="s">
        <v>73</v>
      </c>
      <c r="J13" s="78"/>
      <c r="K13" s="78"/>
      <c r="L13" s="78"/>
    </row>
    <row r="14" spans="1:12" ht="22.05" customHeight="1" x14ac:dyDescent="0.3">
      <c r="A14" s="84" t="s">
        <v>74</v>
      </c>
      <c r="B14" s="84"/>
      <c r="C14" s="84"/>
      <c r="D14" s="84"/>
      <c r="E14" s="85" t="s">
        <v>75</v>
      </c>
      <c r="F14" s="85"/>
      <c r="G14" s="85"/>
      <c r="H14" s="85"/>
      <c r="I14" s="81" t="s">
        <v>76</v>
      </c>
      <c r="J14" s="81"/>
      <c r="K14" s="81"/>
      <c r="L14" s="81"/>
    </row>
    <row r="15" spans="1:12" ht="22.05" customHeight="1" x14ac:dyDescent="0.3">
      <c r="A15" s="84"/>
      <c r="B15" s="84"/>
      <c r="C15" s="84"/>
      <c r="D15" s="84"/>
      <c r="E15" s="85"/>
      <c r="F15" s="85"/>
      <c r="G15" s="85"/>
      <c r="H15" s="85"/>
      <c r="I15" s="81"/>
      <c r="J15" s="81"/>
      <c r="K15" s="81"/>
      <c r="L15" s="81"/>
    </row>
    <row r="16" spans="1:12" ht="22.05" customHeight="1" x14ac:dyDescent="0.3">
      <c r="A16" s="84"/>
      <c r="B16" s="84"/>
      <c r="C16" s="84"/>
      <c r="D16" s="84"/>
      <c r="E16" s="85"/>
      <c r="F16" s="85"/>
      <c r="G16" s="85"/>
      <c r="H16" s="85"/>
      <c r="I16" s="81"/>
      <c r="J16" s="81"/>
      <c r="K16" s="81"/>
      <c r="L16" s="81"/>
    </row>
    <row r="17" spans="1:12" ht="22.05" customHeight="1" x14ac:dyDescent="0.3">
      <c r="A17" s="84"/>
      <c r="B17" s="84"/>
      <c r="C17" s="84"/>
      <c r="D17" s="84"/>
      <c r="E17" s="85"/>
      <c r="F17" s="85"/>
      <c r="G17" s="85"/>
      <c r="H17" s="85"/>
      <c r="I17" s="81"/>
      <c r="J17" s="81"/>
      <c r="K17" s="81"/>
      <c r="L17" s="81"/>
    </row>
    <row r="18" spans="1:12" ht="22.05" customHeight="1" x14ac:dyDescent="0.3">
      <c r="A18" s="84"/>
      <c r="B18" s="84"/>
      <c r="C18" s="84"/>
      <c r="D18" s="84"/>
      <c r="E18" s="85"/>
      <c r="F18" s="85"/>
      <c r="G18" s="85"/>
      <c r="H18" s="85"/>
      <c r="I18" s="81"/>
      <c r="J18" s="81"/>
      <c r="K18" s="81"/>
      <c r="L18" s="81"/>
    </row>
    <row r="19" spans="1:12" ht="22.05" customHeight="1" x14ac:dyDescent="0.3">
      <c r="A19" s="2"/>
      <c r="B19" s="2"/>
      <c r="C19" s="2"/>
      <c r="D19" s="2"/>
      <c r="E19" s="2"/>
      <c r="F19" s="2"/>
      <c r="G19" s="2"/>
      <c r="H19" s="2"/>
      <c r="I19" s="2"/>
      <c r="J19" s="2"/>
      <c r="K19" s="2"/>
      <c r="L19" s="2"/>
    </row>
    <row r="20" spans="1:12" ht="22.05" customHeight="1" x14ac:dyDescent="0.3">
      <c r="A20" s="86" t="s">
        <v>77</v>
      </c>
      <c r="B20" s="86"/>
      <c r="C20" s="86"/>
      <c r="D20" s="86"/>
      <c r="E20" s="86"/>
      <c r="F20" s="86"/>
      <c r="G20" s="70" t="s">
        <v>31</v>
      </c>
      <c r="H20" s="70"/>
      <c r="I20" s="70"/>
      <c r="J20" s="70"/>
      <c r="K20" s="70"/>
      <c r="L20" s="70"/>
    </row>
    <row r="21" spans="1:12" ht="22.05" customHeight="1" x14ac:dyDescent="0.3">
      <c r="A21" s="61" t="s">
        <v>28</v>
      </c>
      <c r="B21" s="61"/>
      <c r="C21" s="61"/>
      <c r="D21" s="61"/>
      <c r="E21" s="61"/>
      <c r="F21" s="61"/>
      <c r="G21" s="72" t="s">
        <v>42</v>
      </c>
      <c r="H21" s="72"/>
      <c r="I21" s="72"/>
      <c r="J21" s="72"/>
      <c r="K21" s="72"/>
      <c r="L21" s="72"/>
    </row>
    <row r="22" spans="1:12" ht="22.05" customHeight="1" x14ac:dyDescent="0.3">
      <c r="A22" s="61" t="s">
        <v>78</v>
      </c>
      <c r="B22" s="61"/>
      <c r="C22" s="61"/>
      <c r="D22" s="61"/>
      <c r="E22" s="61"/>
      <c r="F22" s="61"/>
      <c r="G22" s="72" t="s">
        <v>47</v>
      </c>
      <c r="H22" s="72"/>
      <c r="I22" s="72"/>
      <c r="J22" s="72"/>
      <c r="K22" s="72"/>
      <c r="L22" s="72"/>
    </row>
    <row r="23" spans="1:12" ht="22.05" customHeight="1" x14ac:dyDescent="0.3">
      <c r="A23" s="61" t="s">
        <v>29</v>
      </c>
      <c r="B23" s="61"/>
      <c r="C23" s="61"/>
      <c r="D23" s="61"/>
      <c r="E23" s="61"/>
      <c r="F23" s="61"/>
      <c r="G23" s="72" t="s">
        <v>43</v>
      </c>
      <c r="H23" s="72"/>
      <c r="I23" s="72"/>
      <c r="J23" s="72"/>
      <c r="K23" s="72"/>
      <c r="L23" s="72"/>
    </row>
    <row r="24" spans="1:12" ht="22.05" customHeight="1" x14ac:dyDescent="0.3">
      <c r="A24" s="61" t="s">
        <v>30</v>
      </c>
      <c r="B24" s="61"/>
      <c r="C24" s="61"/>
      <c r="D24" s="61"/>
      <c r="E24" s="61"/>
      <c r="F24" s="61"/>
      <c r="G24" s="72" t="s">
        <v>48</v>
      </c>
      <c r="H24" s="72"/>
      <c r="I24" s="72"/>
      <c r="J24" s="72"/>
      <c r="K24" s="72"/>
      <c r="L24" s="72"/>
    </row>
    <row r="25" spans="1:12" ht="22.05" customHeight="1" x14ac:dyDescent="0.3">
      <c r="A25" s="61" t="s">
        <v>79</v>
      </c>
      <c r="B25" s="61"/>
      <c r="C25" s="61"/>
      <c r="D25" s="61"/>
      <c r="E25" s="61"/>
      <c r="F25" s="61"/>
      <c r="G25" s="72" t="s">
        <v>53</v>
      </c>
      <c r="H25" s="72"/>
      <c r="I25" s="72"/>
      <c r="J25" s="72"/>
      <c r="K25" s="72"/>
      <c r="L25" s="72"/>
    </row>
    <row r="26" spans="1:12" ht="22.05" customHeight="1" x14ac:dyDescent="0.3">
      <c r="A26" s="61" t="s">
        <v>63</v>
      </c>
      <c r="B26" s="61"/>
      <c r="C26" s="61"/>
      <c r="D26" s="61"/>
      <c r="E26" s="61"/>
      <c r="F26" s="61"/>
      <c r="G26" s="72" t="s">
        <v>44</v>
      </c>
      <c r="H26" s="72"/>
      <c r="I26" s="72"/>
      <c r="J26" s="72"/>
      <c r="K26" s="72"/>
      <c r="L26" s="72"/>
    </row>
    <row r="27" spans="1:12" ht="22.05" customHeight="1" x14ac:dyDescent="0.3">
      <c r="A27" s="61" t="s">
        <v>80</v>
      </c>
      <c r="B27" s="61"/>
      <c r="C27" s="61"/>
      <c r="D27" s="61"/>
      <c r="E27" s="61"/>
      <c r="F27" s="61"/>
      <c r="G27" s="72" t="s">
        <v>49</v>
      </c>
      <c r="H27" s="72"/>
      <c r="I27" s="72"/>
      <c r="J27" s="72"/>
      <c r="K27" s="72"/>
      <c r="L27" s="72"/>
    </row>
    <row r="28" spans="1:12" ht="22.05" customHeight="1" x14ac:dyDescent="0.3">
      <c r="A28" s="2"/>
      <c r="B28" s="2"/>
      <c r="C28" s="2"/>
      <c r="D28" s="2"/>
      <c r="E28" s="2"/>
      <c r="F28" s="2"/>
      <c r="G28" s="87" t="s">
        <v>81</v>
      </c>
      <c r="H28" s="87"/>
      <c r="I28" s="87"/>
      <c r="J28" s="87"/>
      <c r="K28" s="87"/>
      <c r="L28" s="87"/>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26:F26"/>
    <mergeCell ref="G26:L26"/>
    <mergeCell ref="A27:F27"/>
    <mergeCell ref="G27:L27"/>
    <mergeCell ref="G28:L28"/>
    <mergeCell ref="A23:F23"/>
    <mergeCell ref="G23:L23"/>
    <mergeCell ref="A24:F24"/>
    <mergeCell ref="G24:L24"/>
    <mergeCell ref="A25:F25"/>
    <mergeCell ref="G25:L25"/>
    <mergeCell ref="A20:F20"/>
    <mergeCell ref="G20:L20"/>
    <mergeCell ref="A21:F21"/>
    <mergeCell ref="G21:L21"/>
    <mergeCell ref="A22:F22"/>
    <mergeCell ref="G22:L22"/>
    <mergeCell ref="A13:D13"/>
    <mergeCell ref="E13:H13"/>
    <mergeCell ref="I13:L13"/>
    <mergeCell ref="A14:D18"/>
    <mergeCell ref="E14:H18"/>
    <mergeCell ref="I14:L18"/>
    <mergeCell ref="A7:D7"/>
    <mergeCell ref="E7:H7"/>
    <mergeCell ref="I7:L7"/>
    <mergeCell ref="A8:D11"/>
    <mergeCell ref="E8:H11"/>
    <mergeCell ref="I8:L11"/>
    <mergeCell ref="A5:B5"/>
    <mergeCell ref="C5:D5"/>
    <mergeCell ref="E5:F5"/>
    <mergeCell ref="G5:H5"/>
    <mergeCell ref="I5:J5"/>
    <mergeCell ref="A1:L1"/>
    <mergeCell ref="A2:L2"/>
    <mergeCell ref="A3:L3"/>
    <mergeCell ref="A4:B4"/>
    <mergeCell ref="C4:L4"/>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7"/>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row r="22" spans="14:14" x14ac:dyDescent="0.3">
      <c r="N22" t="s">
        <v>159</v>
      </c>
    </row>
    <row r="23" spans="14:14" x14ac:dyDescent="0.3">
      <c r="N23" t="s">
        <v>160</v>
      </c>
    </row>
    <row r="24" spans="14:14" x14ac:dyDescent="0.3">
      <c r="N24" t="s">
        <v>161</v>
      </c>
    </row>
    <row r="25" spans="14:14" x14ac:dyDescent="0.3">
      <c r="N25" t="s">
        <v>162</v>
      </c>
    </row>
    <row r="26" spans="14:14" x14ac:dyDescent="0.3">
      <c r="N26" t="s">
        <v>163</v>
      </c>
    </row>
    <row r="27" spans="14:14" x14ac:dyDescent="0.3">
      <c r="N27" t="s">
        <v>164</v>
      </c>
    </row>
    <row r="28" spans="14:14" x14ac:dyDescent="0.3">
      <c r="N28" t="s">
        <v>165</v>
      </c>
    </row>
    <row r="29" spans="14:14" x14ac:dyDescent="0.3">
      <c r="N29" t="s">
        <v>166</v>
      </c>
    </row>
    <row r="30" spans="14:14" x14ac:dyDescent="0.3">
      <c r="N30" t="s">
        <v>167</v>
      </c>
    </row>
    <row r="31" spans="14:14" x14ac:dyDescent="0.3">
      <c r="N31" t="s">
        <v>168</v>
      </c>
    </row>
    <row r="32" spans="14:14" x14ac:dyDescent="0.3">
      <c r="N32" t="s">
        <v>169</v>
      </c>
    </row>
    <row r="33" spans="14:14" x14ac:dyDescent="0.3">
      <c r="N33" t="s">
        <v>170</v>
      </c>
    </row>
    <row r="34" spans="14:14" x14ac:dyDescent="0.3">
      <c r="N34" t="s">
        <v>171</v>
      </c>
    </row>
    <row r="35" spans="14:14" x14ac:dyDescent="0.3">
      <c r="N35" t="s">
        <v>172</v>
      </c>
    </row>
    <row r="36" spans="14:14" x14ac:dyDescent="0.3">
      <c r="N36" t="s">
        <v>173</v>
      </c>
    </row>
    <row r="37" spans="14:14" x14ac:dyDescent="0.3">
      <c r="N37" t="s">
        <v>174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88" t="s">
        <v>28</v>
      </c>
      <c r="B1" s="88"/>
      <c r="C1" s="88"/>
      <c r="D1" s="88"/>
      <c r="E1" s="88"/>
      <c r="F1" s="88"/>
      <c r="G1" s="88"/>
      <c r="H1" s="88"/>
      <c r="I1" s="88"/>
      <c r="J1" s="88"/>
      <c r="K1" s="88"/>
      <c r="L1" s="88"/>
    </row>
    <row r="2" spans="1:12" ht="22.05" customHeight="1" x14ac:dyDescent="0.3">
      <c r="A2" s="89" t="s">
        <v>175</v>
      </c>
      <c r="B2" s="89"/>
      <c r="C2" s="89"/>
      <c r="D2" s="89"/>
      <c r="E2" s="89"/>
      <c r="F2" s="89"/>
      <c r="G2" s="89"/>
      <c r="H2" s="89"/>
      <c r="I2" s="89"/>
      <c r="J2" s="89"/>
      <c r="K2" s="89"/>
      <c r="L2" s="89"/>
    </row>
    <row r="3" spans="1:12" ht="19.95" customHeight="1" x14ac:dyDescent="0.3">
      <c r="A3" s="90" t="s">
        <v>176</v>
      </c>
      <c r="B3" s="90"/>
      <c r="C3" s="90"/>
      <c r="D3" s="90"/>
      <c r="E3" s="90"/>
      <c r="F3" s="90"/>
      <c r="G3" s="90"/>
      <c r="H3" s="90"/>
      <c r="I3" s="90"/>
      <c r="J3" s="90"/>
      <c r="K3" s="90"/>
      <c r="L3" s="90"/>
    </row>
    <row r="4" spans="1:12" ht="19.95" customHeight="1" x14ac:dyDescent="0.3">
      <c r="A4" s="51" t="s">
        <v>61</v>
      </c>
      <c r="B4" s="51"/>
      <c r="C4" s="51" t="s">
        <v>177</v>
      </c>
      <c r="D4" s="51"/>
      <c r="E4" s="51" t="s">
        <v>178</v>
      </c>
      <c r="F4" s="51"/>
      <c r="G4" s="51" t="s">
        <v>179</v>
      </c>
      <c r="H4" s="51"/>
      <c r="I4" s="51" t="s">
        <v>43</v>
      </c>
      <c r="J4" s="51"/>
      <c r="K4" s="51" t="s">
        <v>48</v>
      </c>
      <c r="L4" s="51"/>
    </row>
    <row r="5" spans="1:12" ht="19.95" customHeight="1" x14ac:dyDescent="0.3">
      <c r="A5" s="51" t="s">
        <v>63</v>
      </c>
      <c r="B5" s="51"/>
      <c r="C5" s="8"/>
      <c r="D5" s="9"/>
      <c r="E5" s="8"/>
      <c r="F5" s="9"/>
      <c r="G5" s="8"/>
      <c r="H5" s="9"/>
      <c r="I5" s="9"/>
      <c r="J5" s="9"/>
      <c r="K5" s="8"/>
      <c r="L5" s="9"/>
    </row>
    <row r="6" spans="1:12" ht="18" customHeight="1" x14ac:dyDescent="0.3">
      <c r="A6" s="91" t="s">
        <v>180</v>
      </c>
      <c r="B6" s="91"/>
      <c r="C6" s="92" t="s">
        <v>181</v>
      </c>
      <c r="D6" s="92"/>
      <c r="E6" s="93" t="s">
        <v>182</v>
      </c>
      <c r="F6" s="93"/>
      <c r="G6" s="94" t="s">
        <v>183</v>
      </c>
      <c r="H6" s="94"/>
      <c r="I6" s="9"/>
      <c r="J6" s="9"/>
      <c r="K6" s="8"/>
      <c r="L6" s="9"/>
    </row>
    <row r="7" spans="1:12" ht="22.05" customHeight="1" x14ac:dyDescent="0.3">
      <c r="A7" s="95" t="s">
        <v>184</v>
      </c>
      <c r="B7" s="95"/>
      <c r="C7" s="95"/>
      <c r="D7" s="95"/>
      <c r="E7" s="95"/>
      <c r="F7" s="95"/>
      <c r="G7" s="95"/>
      <c r="H7" s="95"/>
      <c r="I7" s="95"/>
      <c r="J7" s="95"/>
      <c r="K7" s="95"/>
      <c r="L7" s="95"/>
    </row>
    <row r="8" spans="1:12" ht="14.4" x14ac:dyDescent="0.3">
      <c r="A8" s="14" t="s">
        <v>185</v>
      </c>
      <c r="B8" s="14" t="s">
        <v>186</v>
      </c>
      <c r="C8" s="14" t="s">
        <v>187</v>
      </c>
      <c r="D8" s="14" t="s">
        <v>188</v>
      </c>
      <c r="E8" s="14" t="s">
        <v>189</v>
      </c>
      <c r="F8" s="14" t="s">
        <v>190</v>
      </c>
      <c r="G8" s="14" t="s">
        <v>191</v>
      </c>
      <c r="H8" s="14" t="s">
        <v>192</v>
      </c>
      <c r="I8" s="14" t="s">
        <v>193</v>
      </c>
      <c r="J8" s="14" t="s">
        <v>194</v>
      </c>
      <c r="K8" s="14" t="s">
        <v>195</v>
      </c>
      <c r="L8" s="15" t="s">
        <v>196</v>
      </c>
    </row>
    <row r="9" spans="1:12" ht="67.95" customHeight="1" x14ac:dyDescent="0.3">
      <c r="A9" s="16" t="s">
        <v>197</v>
      </c>
      <c r="B9" s="16" t="s">
        <v>198</v>
      </c>
      <c r="C9" s="17" t="s">
        <v>199</v>
      </c>
      <c r="D9" s="18" t="s">
        <v>109</v>
      </c>
      <c r="E9" s="17" t="s">
        <v>200</v>
      </c>
      <c r="F9" s="16" t="s">
        <v>201</v>
      </c>
      <c r="G9" s="17" t="s">
        <v>202</v>
      </c>
      <c r="H9" s="16" t="s">
        <v>203</v>
      </c>
      <c r="I9" s="16" t="s">
        <v>204</v>
      </c>
      <c r="J9" s="16" t="s">
        <v>205</v>
      </c>
      <c r="K9" s="17" t="s">
        <v>206</v>
      </c>
      <c r="L9" s="19" t="s">
        <v>207</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A7:L7"/>
    <mergeCell ref="A5:B5"/>
    <mergeCell ref="A6:B6"/>
    <mergeCell ref="C6:D6"/>
    <mergeCell ref="E6:F6"/>
    <mergeCell ref="G6:H6"/>
    <mergeCell ref="A1:L1"/>
    <mergeCell ref="A2:L2"/>
    <mergeCell ref="A3:L3"/>
    <mergeCell ref="A4:B4"/>
    <mergeCell ref="C4:D4"/>
    <mergeCell ref="E4:F4"/>
    <mergeCell ref="G4:H4"/>
    <mergeCell ref="I4:J4"/>
    <mergeCell ref="K4:L4"/>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_LOOKUPS!$N$2:$N$37</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88" t="s">
        <v>78</v>
      </c>
      <c r="B1" s="88"/>
      <c r="C1" s="88"/>
      <c r="D1" s="88"/>
      <c r="E1" s="88"/>
      <c r="F1" s="88"/>
      <c r="G1" s="88"/>
      <c r="H1" s="88"/>
      <c r="I1" s="88"/>
      <c r="J1" s="88"/>
    </row>
    <row r="2" spans="1:10" ht="22.05" customHeight="1" x14ac:dyDescent="0.3">
      <c r="A2" s="89" t="s">
        <v>208</v>
      </c>
      <c r="B2" s="89"/>
      <c r="C2" s="89"/>
      <c r="D2" s="89"/>
      <c r="E2" s="89"/>
      <c r="F2" s="89"/>
      <c r="G2" s="89"/>
      <c r="H2" s="89"/>
      <c r="I2" s="89"/>
      <c r="J2" s="89"/>
    </row>
    <row r="3" spans="1:10" ht="19.95" customHeight="1" x14ac:dyDescent="0.3">
      <c r="A3" s="90" t="s">
        <v>176</v>
      </c>
      <c r="B3" s="90"/>
      <c r="C3" s="90"/>
      <c r="D3" s="90"/>
      <c r="E3" s="90"/>
      <c r="F3" s="90"/>
      <c r="G3" s="90"/>
      <c r="H3" s="90"/>
      <c r="I3" s="90"/>
      <c r="J3" s="90"/>
    </row>
    <row r="4" spans="1:10" ht="19.95" customHeight="1" x14ac:dyDescent="0.3">
      <c r="A4" s="51" t="s">
        <v>61</v>
      </c>
      <c r="B4" s="51"/>
      <c r="C4" s="51" t="s">
        <v>177</v>
      </c>
      <c r="D4" s="51"/>
      <c r="E4" s="51" t="s">
        <v>209</v>
      </c>
      <c r="F4" s="51"/>
      <c r="G4" s="51" t="s">
        <v>210</v>
      </c>
      <c r="H4" s="51"/>
      <c r="I4" s="51" t="s">
        <v>53</v>
      </c>
      <c r="J4" s="51"/>
    </row>
    <row r="5" spans="1:10" ht="19.95" customHeight="1" x14ac:dyDescent="0.3">
      <c r="A5" s="51" t="s">
        <v>47</v>
      </c>
      <c r="B5" s="51"/>
      <c r="C5" s="9"/>
      <c r="D5" s="9"/>
      <c r="E5" s="8"/>
      <c r="F5" s="9"/>
      <c r="G5" s="9"/>
      <c r="H5" s="9"/>
      <c r="I5" s="9"/>
      <c r="J5" s="9"/>
    </row>
    <row r="6" spans="1:10" ht="18" customHeight="1" x14ac:dyDescent="0.3">
      <c r="A6" s="10" t="s">
        <v>180</v>
      </c>
      <c r="B6" s="11" t="s">
        <v>181</v>
      </c>
      <c r="C6" s="12" t="s">
        <v>182</v>
      </c>
      <c r="D6" s="13" t="s">
        <v>183</v>
      </c>
      <c r="E6" s="8"/>
      <c r="F6" s="9"/>
      <c r="G6" s="9"/>
      <c r="H6" s="9"/>
      <c r="I6" s="9"/>
      <c r="J6" s="9"/>
    </row>
    <row r="7" spans="1:10" ht="22.05" customHeight="1" x14ac:dyDescent="0.3">
      <c r="A7" s="95" t="s">
        <v>184</v>
      </c>
      <c r="B7" s="95"/>
      <c r="C7" s="95"/>
      <c r="D7" s="95"/>
      <c r="E7" s="95"/>
      <c r="F7" s="95"/>
      <c r="G7" s="95"/>
      <c r="H7" s="95"/>
      <c r="I7" s="95"/>
      <c r="J7" s="95"/>
    </row>
    <row r="8" spans="1:10" ht="14.4" x14ac:dyDescent="0.3">
      <c r="A8" s="14" t="s">
        <v>211</v>
      </c>
      <c r="B8" s="14" t="s">
        <v>212</v>
      </c>
      <c r="C8" s="14" t="s">
        <v>213</v>
      </c>
      <c r="D8" s="14" t="s">
        <v>214</v>
      </c>
      <c r="E8" s="14" t="s">
        <v>215</v>
      </c>
      <c r="F8" s="14" t="s">
        <v>216</v>
      </c>
      <c r="G8" s="14" t="s">
        <v>217</v>
      </c>
      <c r="H8" s="14" t="s">
        <v>218</v>
      </c>
      <c r="I8" s="14" t="s">
        <v>219</v>
      </c>
      <c r="J8" s="15" t="s">
        <v>196</v>
      </c>
    </row>
    <row r="9" spans="1:10" ht="49.95" customHeight="1" x14ac:dyDescent="0.3">
      <c r="A9" s="16" t="s">
        <v>220</v>
      </c>
      <c r="B9" s="16" t="s">
        <v>221</v>
      </c>
      <c r="C9" s="16" t="s">
        <v>222</v>
      </c>
      <c r="D9" s="16" t="s">
        <v>223</v>
      </c>
      <c r="E9" s="17" t="s">
        <v>224</v>
      </c>
      <c r="F9" s="16" t="s">
        <v>225</v>
      </c>
      <c r="G9" s="16" t="s">
        <v>226</v>
      </c>
      <c r="H9" s="16" t="s">
        <v>227</v>
      </c>
      <c r="I9" s="16" t="s">
        <v>228</v>
      </c>
      <c r="J9" s="19" t="s">
        <v>207</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1:J1"/>
    <mergeCell ref="A2:J2"/>
    <mergeCell ref="A3:J3"/>
    <mergeCell ref="A4:B4"/>
    <mergeCell ref="C4:D4"/>
    <mergeCell ref="E4:F4"/>
    <mergeCell ref="G4:H4"/>
    <mergeCell ref="I4:J4"/>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tabSelected="1" workbookViewId="0">
      <pane ySplit="8" topLeftCell="A9" activePane="bottomLeft" state="frozen"/>
      <selection pane="bottomLeft" activeCell="B12" sqref="B12"/>
    </sheetView>
  </sheetViews>
  <sheetFormatPr baseColWidth="10" defaultColWidth="8.88671875" defaultRowHeight="22.05" customHeight="1" x14ac:dyDescent="0.3"/>
  <cols>
    <col min="1" max="1" width="10" style="6" customWidth="1"/>
    <col min="2" max="2" width="37" style="6" customWidth="1"/>
    <col min="3" max="3" width="89.21875"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88" t="s">
        <v>29</v>
      </c>
      <c r="B1" s="88"/>
      <c r="C1" s="88"/>
      <c r="D1" s="88"/>
      <c r="E1" s="88"/>
      <c r="F1" s="88"/>
      <c r="G1" s="88"/>
      <c r="H1" s="88"/>
      <c r="I1" s="88"/>
      <c r="J1" s="88"/>
      <c r="K1" s="88"/>
      <c r="L1" s="88"/>
      <c r="M1" s="88"/>
      <c r="N1" s="88"/>
      <c r="O1" s="88"/>
    </row>
    <row r="2" spans="1:15" ht="22.05" customHeight="1" x14ac:dyDescent="0.3">
      <c r="A2" s="89" t="s">
        <v>229</v>
      </c>
      <c r="B2" s="89"/>
      <c r="C2" s="89"/>
      <c r="D2" s="89"/>
      <c r="E2" s="89"/>
      <c r="F2" s="89"/>
      <c r="G2" s="89"/>
      <c r="H2" s="89"/>
      <c r="I2" s="89"/>
      <c r="J2" s="89"/>
      <c r="K2" s="89"/>
      <c r="L2" s="89"/>
      <c r="M2" s="89"/>
      <c r="N2" s="89"/>
      <c r="O2" s="89"/>
    </row>
    <row r="3" spans="1:15" ht="19.95" customHeight="1" x14ac:dyDescent="0.3">
      <c r="A3" s="96" t="s">
        <v>176</v>
      </c>
      <c r="B3" s="96"/>
      <c r="C3" s="96"/>
      <c r="D3" s="96"/>
      <c r="E3" s="96"/>
      <c r="F3" s="96"/>
      <c r="G3" s="96"/>
      <c r="H3" s="96"/>
      <c r="I3" s="96"/>
      <c r="J3" s="96"/>
      <c r="K3" s="96"/>
      <c r="L3" s="96"/>
      <c r="M3" s="96"/>
      <c r="N3" s="96"/>
      <c r="O3" s="96"/>
    </row>
    <row r="4" spans="1:15" ht="19.95" customHeight="1" x14ac:dyDescent="0.3">
      <c r="A4" s="53" t="s">
        <v>61</v>
      </c>
      <c r="B4" s="53"/>
      <c r="C4" s="53" t="s">
        <v>177</v>
      </c>
      <c r="D4" s="53"/>
      <c r="E4" s="53" t="s">
        <v>230</v>
      </c>
      <c r="F4" s="53"/>
      <c r="G4" s="53" t="s">
        <v>231</v>
      </c>
      <c r="H4" s="53"/>
      <c r="I4" s="53" t="s">
        <v>55</v>
      </c>
      <c r="J4" s="53"/>
      <c r="K4" s="53" t="s">
        <v>57</v>
      </c>
      <c r="L4" s="53"/>
      <c r="M4" s="53" t="s">
        <v>63</v>
      </c>
      <c r="N4" s="53"/>
      <c r="O4" s="9"/>
    </row>
    <row r="5" spans="1:15" ht="19.95" customHeight="1" x14ac:dyDescent="0.3">
      <c r="A5" s="43" t="s">
        <v>232</v>
      </c>
      <c r="B5" s="43"/>
      <c r="C5" s="43"/>
      <c r="D5" s="43"/>
      <c r="E5" s="43"/>
      <c r="F5" s="43"/>
      <c r="G5" s="43"/>
      <c r="H5" s="43"/>
      <c r="I5" s="43"/>
      <c r="J5" s="43"/>
      <c r="K5" s="43"/>
      <c r="L5" s="43"/>
      <c r="M5" s="43"/>
      <c r="N5" s="43"/>
      <c r="O5" s="43"/>
    </row>
    <row r="6" spans="1:15" ht="18" customHeight="1" x14ac:dyDescent="0.3">
      <c r="A6" s="91" t="s">
        <v>180</v>
      </c>
      <c r="B6" s="91"/>
      <c r="C6" s="92" t="s">
        <v>181</v>
      </c>
      <c r="D6" s="92"/>
      <c r="E6" s="93" t="s">
        <v>182</v>
      </c>
      <c r="F6" s="93"/>
      <c r="G6" s="94" t="s">
        <v>183</v>
      </c>
      <c r="H6" s="94"/>
      <c r="I6" s="9"/>
      <c r="J6" s="9"/>
      <c r="K6" s="9"/>
      <c r="L6" s="9"/>
      <c r="M6" s="9"/>
      <c r="N6" s="9"/>
      <c r="O6" s="9"/>
    </row>
    <row r="7" spans="1:15" ht="22.05" customHeight="1" x14ac:dyDescent="0.3">
      <c r="A7" s="95" t="s">
        <v>184</v>
      </c>
      <c r="B7" s="95"/>
      <c r="C7" s="95"/>
      <c r="D7" s="95"/>
      <c r="E7" s="95"/>
      <c r="F7" s="95"/>
      <c r="G7" s="95"/>
      <c r="H7" s="95"/>
      <c r="I7" s="95"/>
      <c r="J7" s="95"/>
      <c r="K7" s="95"/>
      <c r="L7" s="95"/>
      <c r="M7" s="95"/>
      <c r="N7" s="95"/>
      <c r="O7" s="95"/>
    </row>
    <row r="8" spans="1:15" ht="14.4" x14ac:dyDescent="0.3">
      <c r="A8" s="14" t="s">
        <v>233</v>
      </c>
      <c r="B8" s="14" t="s">
        <v>234</v>
      </c>
      <c r="C8" s="14" t="s">
        <v>235</v>
      </c>
      <c r="D8" s="14" t="s">
        <v>236</v>
      </c>
      <c r="E8" s="14" t="s">
        <v>237</v>
      </c>
      <c r="F8" s="14" t="s">
        <v>238</v>
      </c>
      <c r="G8" s="14" t="s">
        <v>239</v>
      </c>
      <c r="H8" s="23" t="s">
        <v>240</v>
      </c>
      <c r="I8" s="23" t="s">
        <v>241</v>
      </c>
      <c r="J8" s="23" t="s">
        <v>242</v>
      </c>
      <c r="K8" s="23" t="s">
        <v>243</v>
      </c>
      <c r="L8" s="23" t="s">
        <v>244</v>
      </c>
      <c r="M8" s="14" t="s">
        <v>245</v>
      </c>
      <c r="N8" s="14" t="s">
        <v>246</v>
      </c>
      <c r="O8" s="15" t="s">
        <v>196</v>
      </c>
    </row>
    <row r="9" spans="1:15" ht="67.95" customHeight="1" x14ac:dyDescent="0.3">
      <c r="A9" s="16">
        <v>1</v>
      </c>
      <c r="B9" s="16" t="s">
        <v>247</v>
      </c>
      <c r="C9" s="16" t="s">
        <v>248</v>
      </c>
      <c r="D9" s="17" t="s">
        <v>249</v>
      </c>
      <c r="E9" s="17" t="s">
        <v>250</v>
      </c>
      <c r="F9" s="16" t="s">
        <v>251</v>
      </c>
      <c r="G9" s="16" t="s">
        <v>102</v>
      </c>
      <c r="H9" s="18" t="s">
        <v>121</v>
      </c>
      <c r="I9" s="18" t="s">
        <v>130</v>
      </c>
      <c r="J9" s="18" t="s">
        <v>138</v>
      </c>
      <c r="K9" s="16" t="s">
        <v>252</v>
      </c>
      <c r="L9" s="16">
        <v>1.3</v>
      </c>
      <c r="M9" s="16">
        <v>1</v>
      </c>
      <c r="N9" s="24" t="s">
        <v>98</v>
      </c>
      <c r="O9" s="19" t="s">
        <v>207</v>
      </c>
    </row>
    <row r="10" spans="1:15" ht="49.95" customHeight="1" x14ac:dyDescent="0.3">
      <c r="A10" s="20">
        <v>2</v>
      </c>
      <c r="B10" s="20" t="s">
        <v>253</v>
      </c>
      <c r="C10" s="20" t="s">
        <v>254</v>
      </c>
      <c r="D10" s="21" t="s">
        <v>255</v>
      </c>
      <c r="E10" s="21" t="s">
        <v>256</v>
      </c>
      <c r="F10" s="20" t="s">
        <v>257</v>
      </c>
      <c r="G10" s="20" t="s">
        <v>102</v>
      </c>
      <c r="H10" s="25" t="s">
        <v>142</v>
      </c>
      <c r="I10" s="25" t="s">
        <v>144</v>
      </c>
      <c r="J10" s="25" t="s">
        <v>145</v>
      </c>
      <c r="K10" s="20" t="s">
        <v>103</v>
      </c>
      <c r="L10" s="20">
        <v>1.25</v>
      </c>
      <c r="M10" s="20">
        <v>2</v>
      </c>
      <c r="N10" s="26" t="s">
        <v>98</v>
      </c>
      <c r="O10" s="19" t="s">
        <v>207</v>
      </c>
    </row>
    <row r="11" spans="1:15" ht="67.95" customHeight="1" x14ac:dyDescent="0.3">
      <c r="A11" s="16">
        <v>3</v>
      </c>
      <c r="B11" s="16" t="s">
        <v>258</v>
      </c>
      <c r="C11" s="16" t="s">
        <v>259</v>
      </c>
      <c r="D11" s="17" t="s">
        <v>260</v>
      </c>
      <c r="E11" s="17" t="s">
        <v>261</v>
      </c>
      <c r="F11" s="16" t="s">
        <v>262</v>
      </c>
      <c r="G11" s="16" t="s">
        <v>102</v>
      </c>
      <c r="H11" s="18" t="s">
        <v>146</v>
      </c>
      <c r="I11" s="18" t="s">
        <v>147</v>
      </c>
      <c r="J11" s="18" t="s">
        <v>148</v>
      </c>
      <c r="K11" s="16" t="s">
        <v>252</v>
      </c>
      <c r="L11" s="16" t="s">
        <v>252</v>
      </c>
      <c r="M11" s="16">
        <v>3</v>
      </c>
      <c r="N11" s="24" t="s">
        <v>98</v>
      </c>
      <c r="O11" s="19" t="s">
        <v>207</v>
      </c>
    </row>
    <row r="12" spans="1:15" ht="49.95" customHeight="1" x14ac:dyDescent="0.3">
      <c r="A12" s="20">
        <v>4</v>
      </c>
      <c r="B12" s="20" t="s">
        <v>263</v>
      </c>
      <c r="C12" s="20" t="s">
        <v>264</v>
      </c>
      <c r="D12" s="21" t="s">
        <v>265</v>
      </c>
      <c r="E12" s="21" t="s">
        <v>266</v>
      </c>
      <c r="F12" s="20" t="s">
        <v>267</v>
      </c>
      <c r="G12" s="20" t="s">
        <v>102</v>
      </c>
      <c r="H12" s="25" t="s">
        <v>149</v>
      </c>
      <c r="I12" s="25" t="s">
        <v>150</v>
      </c>
      <c r="J12" s="25" t="s">
        <v>151</v>
      </c>
      <c r="K12" s="20" t="s">
        <v>252</v>
      </c>
      <c r="L12" s="20">
        <v>1.3</v>
      </c>
      <c r="M12" s="20">
        <v>4</v>
      </c>
      <c r="N12" s="26" t="s">
        <v>98</v>
      </c>
      <c r="O12" s="19" t="s">
        <v>207</v>
      </c>
    </row>
    <row r="13" spans="1:15" ht="67.95" customHeight="1" x14ac:dyDescent="0.3">
      <c r="A13" s="16">
        <v>5</v>
      </c>
      <c r="B13" s="16" t="s">
        <v>715</v>
      </c>
      <c r="C13" s="16" t="s">
        <v>268</v>
      </c>
      <c r="D13" s="17" t="s">
        <v>269</v>
      </c>
      <c r="E13" s="17" t="s">
        <v>270</v>
      </c>
      <c r="F13" s="16" t="s">
        <v>271</v>
      </c>
      <c r="G13" s="16" t="s">
        <v>102</v>
      </c>
      <c r="H13" s="18" t="s">
        <v>152</v>
      </c>
      <c r="I13" s="18" t="s">
        <v>153</v>
      </c>
      <c r="J13" s="18" t="s">
        <v>154</v>
      </c>
      <c r="K13" s="16" t="s">
        <v>103</v>
      </c>
      <c r="L13" s="16" t="s">
        <v>252</v>
      </c>
      <c r="M13" s="16">
        <v>5</v>
      </c>
      <c r="N13" s="24" t="s">
        <v>98</v>
      </c>
      <c r="O13" s="19" t="s">
        <v>207</v>
      </c>
    </row>
    <row r="14" spans="1:15" ht="14.4" x14ac:dyDescent="0.3">
      <c r="A14" s="20">
        <v>6</v>
      </c>
      <c r="B14" s="20" t="inlineStr">
        <is>
          <t>Remote PC Bridge</t>
        </is>
      </c>
      <c r="C14" s="20" t="inlineStr">
        <is>
          <t>ESP32 Wake-on-LAN &amp; Remote Streaming Diagnostics</t>
        </is>
      </c>
      <c r="D14" s="21" t="inlineStr">
        <is>
          <t>A home PC that is powered off cannot be reached through remote streaming, and failures across the wake and connection path are hard to pinpoint.</t>
        </is>
      </c>
      <c r="E14" s="21" t="inlineStr">
        <is>
          <t>I built a Windows controller and ESP32 firmware that wake the PC over the home network, check each connection stage, and launch Moonlight when the desktop is ready.</t>
        </is>
      </c>
      <c r="F14" s="20" t="inlineStr">
        <is>
          <t>https://github.com/Albjav12345/remote-pc-bridge</t>
        </is>
      </c>
      <c r="G14" s="20" t="inlineStr">
        <is>
          <t>video</t>
        </is>
      </c>
      <c r="H14" s="20" t="inlineStr">
        <is>
          <t>project-6-video</t>
        </is>
      </c>
      <c r="I14" s="20" t="inlineStr">
        <is>
          <t>project-6-thumbnail</t>
        </is>
      </c>
      <c r="J14" s="20" t="inlineStr">
        <is>
          <t>project-6-icon</t>
        </is>
      </c>
      <c r="K14" s="20" t="inlineStr">
        <is>
          <t>auto</t>
        </is>
      </c>
      <c r="L14" s="20">
        <v>1</v>
      </c>
      <c r="M14" s="20">
        <v>6</v>
      </c>
      <c r="N14" s="26" t="inlineStr">
        <is>
          <t>TRUE</t>
        </is>
      </c>
      <c r="O14" s="22" t="inlineStr">
        <is>
          <t>READY</t>
        </is>
      </c>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7:O7"/>
    <mergeCell ref="A5:O5"/>
    <mergeCell ref="A6:B6"/>
    <mergeCell ref="C6:D6"/>
    <mergeCell ref="E6:F6"/>
    <mergeCell ref="G6:H6"/>
    <mergeCell ref="A1:O1"/>
    <mergeCell ref="A2:O2"/>
    <mergeCell ref="A3:O3"/>
    <mergeCell ref="A4:B4"/>
    <mergeCell ref="C4:D4"/>
    <mergeCell ref="E4:F4"/>
    <mergeCell ref="G4:H4"/>
    <mergeCell ref="I4:J4"/>
    <mergeCell ref="K4:L4"/>
    <mergeCell ref="M4:N4"/>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_LOOKUPS!$N$2:$N$37</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P4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4" width="14" style="6" customWidth="1"/>
    <col min="15" max="15" width="10" style="6" customWidth="1"/>
    <col min="16" max="16" width="20" style="6" customWidth="1"/>
  </cols>
  <sheetData>
    <row r="1" spans="1:16" ht="28.05" customHeight="1" x14ac:dyDescent="0.3">
      <c r="A1" s="88" t="s">
        <v>30</v>
      </c>
      <c r="B1" s="88"/>
      <c r="C1" s="88"/>
      <c r="D1" s="88"/>
      <c r="E1" s="88"/>
      <c r="F1" s="88"/>
      <c r="G1" s="88"/>
      <c r="H1" s="88"/>
      <c r="I1" s="88"/>
      <c r="J1" s="88"/>
      <c r="K1" s="88"/>
      <c r="L1" s="88"/>
      <c r="M1" s="88"/>
      <c r="N1" s="88"/>
      <c r="O1" s="88"/>
      <c r="P1" s="88"/>
    </row>
    <row r="2" spans="1:16" ht="22.05" customHeight="1" x14ac:dyDescent="0.3">
      <c r="A2" s="89" t="s">
        <v>272</v>
      </c>
      <c r="B2" s="89"/>
      <c r="C2" s="89"/>
      <c r="D2" s="89"/>
      <c r="E2" s="89"/>
      <c r="F2" s="89"/>
      <c r="G2" s="89"/>
      <c r="H2" s="89"/>
      <c r="I2" s="89"/>
      <c r="J2" s="89"/>
      <c r="K2" s="89"/>
      <c r="L2" s="89"/>
      <c r="M2" s="89"/>
      <c r="N2" s="89"/>
      <c r="O2" s="89"/>
      <c r="P2" s="89"/>
    </row>
    <row r="3" spans="1:16" ht="19.95" customHeight="1" x14ac:dyDescent="0.3">
      <c r="A3" s="97" t="s">
        <v>176</v>
      </c>
      <c r="B3" s="97"/>
      <c r="C3" s="97"/>
      <c r="D3" s="97"/>
      <c r="E3" s="97"/>
      <c r="F3" s="97"/>
      <c r="G3" s="97"/>
      <c r="H3" s="97"/>
      <c r="I3" s="97"/>
      <c r="J3" s="97"/>
      <c r="K3" s="97"/>
      <c r="L3" s="97"/>
      <c r="M3" s="97"/>
      <c r="N3" s="97"/>
      <c r="O3" s="97"/>
      <c r="P3" s="97"/>
    </row>
    <row r="4" spans="1:16" ht="19.95" customHeight="1" x14ac:dyDescent="0.3">
      <c r="A4" s="55" t="s">
        <v>61</v>
      </c>
      <c r="B4" s="55"/>
      <c r="C4" s="55" t="s">
        <v>177</v>
      </c>
      <c r="D4" s="55"/>
      <c r="E4" s="55" t="s">
        <v>273</v>
      </c>
      <c r="F4" s="55"/>
      <c r="G4" s="55" t="s">
        <v>274</v>
      </c>
      <c r="H4" s="55"/>
      <c r="I4" s="55" t="s">
        <v>46</v>
      </c>
      <c r="J4" s="55"/>
      <c r="K4" s="55" t="s">
        <v>63</v>
      </c>
      <c r="L4" s="55"/>
      <c r="M4" s="9"/>
      <c r="N4" s="9"/>
      <c r="O4" s="9"/>
      <c r="P4" s="9"/>
    </row>
    <row r="5" spans="1:16" ht="19.95" customHeight="1" x14ac:dyDescent="0.3">
      <c r="A5" s="43" t="s">
        <v>232</v>
      </c>
      <c r="B5" s="43"/>
      <c r="C5" s="43"/>
      <c r="D5" s="43"/>
      <c r="E5" s="43"/>
      <c r="F5" s="43"/>
      <c r="G5" s="43"/>
      <c r="H5" s="43"/>
      <c r="I5" s="43"/>
      <c r="J5" s="43"/>
      <c r="K5" s="43"/>
      <c r="L5" s="43"/>
      <c r="M5" s="43"/>
      <c r="N5" s="43"/>
      <c r="O5" s="43"/>
      <c r="P5" s="43"/>
    </row>
    <row r="6" spans="1:16" ht="18" customHeight="1" x14ac:dyDescent="0.3">
      <c r="A6" s="91" t="s">
        <v>180</v>
      </c>
      <c r="B6" s="91"/>
      <c r="C6" s="92" t="s">
        <v>181</v>
      </c>
      <c r="D6" s="92"/>
      <c r="E6" s="93" t="s">
        <v>182</v>
      </c>
      <c r="F6" s="93"/>
      <c r="G6" s="94" t="s">
        <v>183</v>
      </c>
      <c r="H6" s="94"/>
      <c r="I6" s="8"/>
      <c r="J6" s="9"/>
      <c r="K6" s="9"/>
      <c r="L6" s="9"/>
      <c r="M6" s="9"/>
      <c r="N6" s="9"/>
      <c r="O6" s="9"/>
      <c r="P6" s="9"/>
    </row>
    <row r="7" spans="1:16" ht="22.05" customHeight="1" x14ac:dyDescent="0.3">
      <c r="A7" s="95" t="s">
        <v>184</v>
      </c>
      <c r="B7" s="95"/>
      <c r="C7" s="95"/>
      <c r="D7" s="95"/>
      <c r="E7" s="95"/>
      <c r="F7" s="95"/>
      <c r="G7" s="95"/>
      <c r="H7" s="95"/>
      <c r="I7" s="95"/>
      <c r="J7" s="95"/>
      <c r="K7" s="95"/>
      <c r="L7" s="95"/>
      <c r="M7" s="95"/>
      <c r="N7" s="95"/>
      <c r="O7" s="95"/>
      <c r="P7" s="95"/>
    </row>
    <row r="8" spans="1:16" ht="14.4" x14ac:dyDescent="0.3">
      <c r="A8" s="14" t="s">
        <v>233</v>
      </c>
      <c r="B8" s="14" t="s">
        <v>275</v>
      </c>
      <c r="C8" s="23" t="s">
        <v>276</v>
      </c>
      <c r="D8" s="23" t="s">
        <v>277</v>
      </c>
      <c r="E8" s="23" t="s">
        <v>278</v>
      </c>
      <c r="F8" s="23" t="s">
        <v>279</v>
      </c>
      <c r="G8" s="14" t="s">
        <v>280</v>
      </c>
      <c r="H8" s="14" t="s">
        <v>281</v>
      </c>
      <c r="I8" s="14" t="s">
        <v>282</v>
      </c>
      <c r="J8" s="14" t="s">
        <v>283</v>
      </c>
      <c r="K8" s="23" t="s">
        <v>188</v>
      </c>
      <c r="L8" s="14" t="s">
        <v>284</v>
      </c>
      <c r="M8" s="23" t="s">
        <v>285</v>
      </c>
      <c r="N8" s="14" t="s">
        <v>286</v>
      </c>
      <c r="O8" s="14" t="s">
        <v>245</v>
      </c>
      <c r="P8" s="15" t="s">
        <v>196</v>
      </c>
    </row>
    <row r="9" spans="1:16" ht="94.05" customHeight="1" x14ac:dyDescent="0.3">
      <c r="A9" s="16" t="s">
        <v>287</v>
      </c>
      <c r="B9" s="18" t="s">
        <v>108</v>
      </c>
      <c r="C9" s="16" t="s">
        <v>252</v>
      </c>
      <c r="D9" s="16" t="s">
        <v>252</v>
      </c>
      <c r="E9" s="16" t="s">
        <v>288</v>
      </c>
      <c r="F9" s="16" t="s">
        <v>289</v>
      </c>
      <c r="G9" s="17" t="s">
        <v>290</v>
      </c>
      <c r="H9" s="16" t="s">
        <v>113</v>
      </c>
      <c r="I9" s="17" t="s">
        <v>291</v>
      </c>
      <c r="J9" s="16" t="s">
        <v>292</v>
      </c>
      <c r="K9" s="18" t="s">
        <v>162</v>
      </c>
      <c r="L9" s="24" t="s">
        <v>112</v>
      </c>
      <c r="M9" s="16" t="s">
        <v>252</v>
      </c>
      <c r="N9" s="24" t="s">
        <v>112</v>
      </c>
      <c r="O9" s="16">
        <v>1</v>
      </c>
      <c r="P9" s="19" t="s">
        <v>293</v>
      </c>
    </row>
    <row r="10" spans="1:16" ht="49.95" customHeight="1" x14ac:dyDescent="0.3">
      <c r="A10" s="20" t="s">
        <v>294</v>
      </c>
      <c r="B10" s="25" t="s">
        <v>108</v>
      </c>
      <c r="C10" s="20" t="s">
        <v>252</v>
      </c>
      <c r="D10" s="20" t="s">
        <v>252</v>
      </c>
      <c r="E10" s="20" t="s">
        <v>295</v>
      </c>
      <c r="F10" s="20" t="s">
        <v>289</v>
      </c>
      <c r="G10" s="21" t="s">
        <v>296</v>
      </c>
      <c r="H10" s="20" t="s">
        <v>124</v>
      </c>
      <c r="I10" s="21" t="s">
        <v>291</v>
      </c>
      <c r="J10" s="20" t="s">
        <v>297</v>
      </c>
      <c r="K10" s="25" t="s">
        <v>170</v>
      </c>
      <c r="L10" s="26" t="s">
        <v>98</v>
      </c>
      <c r="M10" s="20">
        <v>3</v>
      </c>
      <c r="N10" s="26" t="s">
        <v>112</v>
      </c>
      <c r="O10" s="20">
        <v>2</v>
      </c>
      <c r="P10" s="19" t="s">
        <v>298</v>
      </c>
    </row>
    <row r="11" spans="1:16" ht="26.4" x14ac:dyDescent="0.3">
      <c r="A11" s="16" t="s">
        <v>299</v>
      </c>
      <c r="B11" s="18" t="s">
        <v>108</v>
      </c>
      <c r="C11" s="16" t="s">
        <v>252</v>
      </c>
      <c r="D11" s="16" t="s">
        <v>252</v>
      </c>
      <c r="E11" s="16" t="s">
        <v>300</v>
      </c>
      <c r="F11" s="16" t="s">
        <v>289</v>
      </c>
      <c r="G11" s="17" t="s">
        <v>301</v>
      </c>
      <c r="H11" s="16" t="s">
        <v>133</v>
      </c>
      <c r="I11" s="17" t="s">
        <v>291</v>
      </c>
      <c r="J11" s="16" t="s">
        <v>302</v>
      </c>
      <c r="K11" s="18" t="s">
        <v>171</v>
      </c>
      <c r="L11" s="24" t="s">
        <v>98</v>
      </c>
      <c r="M11" s="16">
        <v>5</v>
      </c>
      <c r="N11" s="24" t="s">
        <v>112</v>
      </c>
      <c r="O11" s="16">
        <v>3</v>
      </c>
      <c r="P11" s="19" t="s">
        <v>298</v>
      </c>
    </row>
    <row r="12" spans="1:16" ht="26.4" x14ac:dyDescent="0.3">
      <c r="A12" s="20" t="s">
        <v>303</v>
      </c>
      <c r="B12" s="25" t="s">
        <v>108</v>
      </c>
      <c r="C12" s="20" t="s">
        <v>252</v>
      </c>
      <c r="D12" s="20" t="s">
        <v>252</v>
      </c>
      <c r="E12" s="20" t="s">
        <v>304</v>
      </c>
      <c r="F12" s="20" t="s">
        <v>289</v>
      </c>
      <c r="G12" s="21" t="s">
        <v>305</v>
      </c>
      <c r="H12" s="20" t="s">
        <v>141</v>
      </c>
      <c r="I12" s="21" t="s">
        <v>291</v>
      </c>
      <c r="J12" s="20" t="s">
        <v>306</v>
      </c>
      <c r="K12" s="25" t="s">
        <v>156</v>
      </c>
      <c r="L12" s="26" t="s">
        <v>112</v>
      </c>
      <c r="M12" s="20" t="s">
        <v>252</v>
      </c>
      <c r="N12" s="26" t="s">
        <v>112</v>
      </c>
      <c r="O12" s="20">
        <v>4</v>
      </c>
      <c r="P12" s="19" t="s">
        <v>293</v>
      </c>
    </row>
    <row r="13" spans="1:16" ht="94.05" customHeight="1" x14ac:dyDescent="0.3">
      <c r="A13" s="16" t="s">
        <v>307</v>
      </c>
      <c r="B13" s="18" t="s">
        <v>108</v>
      </c>
      <c r="C13" s="16" t="s">
        <v>252</v>
      </c>
      <c r="D13" s="16" t="s">
        <v>252</v>
      </c>
      <c r="E13" s="16" t="s">
        <v>308</v>
      </c>
      <c r="F13" s="16" t="s">
        <v>309</v>
      </c>
      <c r="G13" s="17" t="s">
        <v>310</v>
      </c>
      <c r="H13" s="16" t="s">
        <v>141</v>
      </c>
      <c r="I13" s="17" t="s">
        <v>311</v>
      </c>
      <c r="J13" s="16" t="s">
        <v>312</v>
      </c>
      <c r="K13" s="18" t="s">
        <v>169</v>
      </c>
      <c r="L13" s="24" t="s">
        <v>98</v>
      </c>
      <c r="M13" s="16">
        <v>1</v>
      </c>
      <c r="N13" s="24" t="s">
        <v>98</v>
      </c>
      <c r="O13" s="16">
        <v>5</v>
      </c>
      <c r="P13" s="19" t="s">
        <v>313</v>
      </c>
    </row>
    <row r="14" spans="1:16" ht="26.4" x14ac:dyDescent="0.3">
      <c r="A14" s="20" t="s">
        <v>314</v>
      </c>
      <c r="B14" s="25" t="s">
        <v>108</v>
      </c>
      <c r="C14" s="20" t="s">
        <v>252</v>
      </c>
      <c r="D14" s="20" t="s">
        <v>252</v>
      </c>
      <c r="E14" s="20" t="s">
        <v>315</v>
      </c>
      <c r="F14" s="20" t="s">
        <v>309</v>
      </c>
      <c r="G14" s="21" t="s">
        <v>316</v>
      </c>
      <c r="H14" s="20" t="s">
        <v>141</v>
      </c>
      <c r="I14" s="21" t="s">
        <v>311</v>
      </c>
      <c r="J14" s="20" t="s">
        <v>317</v>
      </c>
      <c r="K14" s="25" t="s">
        <v>172</v>
      </c>
      <c r="L14" s="26" t="s">
        <v>98</v>
      </c>
      <c r="M14" s="20">
        <v>7</v>
      </c>
      <c r="N14" s="26" t="s">
        <v>112</v>
      </c>
      <c r="O14" s="20">
        <v>6</v>
      </c>
      <c r="P14" s="19" t="s">
        <v>298</v>
      </c>
    </row>
    <row r="15" spans="1:16" ht="94.05" customHeight="1" x14ac:dyDescent="0.3">
      <c r="A15" s="16" t="s">
        <v>318</v>
      </c>
      <c r="B15" s="18" t="s">
        <v>108</v>
      </c>
      <c r="C15" s="16" t="s">
        <v>252</v>
      </c>
      <c r="D15" s="16" t="s">
        <v>252</v>
      </c>
      <c r="E15" s="16" t="s">
        <v>319</v>
      </c>
      <c r="F15" s="16" t="s">
        <v>320</v>
      </c>
      <c r="G15" s="17" t="s">
        <v>321</v>
      </c>
      <c r="H15" s="16" t="s">
        <v>141</v>
      </c>
      <c r="I15" s="17" t="s">
        <v>322</v>
      </c>
      <c r="J15" s="16" t="s">
        <v>323</v>
      </c>
      <c r="K15" s="18" t="s">
        <v>159</v>
      </c>
      <c r="L15" s="24" t="s">
        <v>112</v>
      </c>
      <c r="M15" s="16" t="s">
        <v>252</v>
      </c>
      <c r="N15" s="24" t="s">
        <v>112</v>
      </c>
      <c r="O15" s="16">
        <v>7</v>
      </c>
      <c r="P15" s="19" t="s">
        <v>293</v>
      </c>
    </row>
    <row r="16" spans="1:16" ht="67.95" customHeight="1" x14ac:dyDescent="0.3">
      <c r="A16" s="20" t="s">
        <v>324</v>
      </c>
      <c r="B16" s="25" t="s">
        <v>108</v>
      </c>
      <c r="C16" s="20" t="s">
        <v>252</v>
      </c>
      <c r="D16" s="20" t="s">
        <v>252</v>
      </c>
      <c r="E16" s="20" t="s">
        <v>325</v>
      </c>
      <c r="F16" s="20" t="s">
        <v>326</v>
      </c>
      <c r="G16" s="21" t="s">
        <v>327</v>
      </c>
      <c r="H16" s="20" t="s">
        <v>141</v>
      </c>
      <c r="I16" s="21" t="s">
        <v>328</v>
      </c>
      <c r="J16" s="20" t="s">
        <v>329</v>
      </c>
      <c r="K16" s="25" t="s">
        <v>166</v>
      </c>
      <c r="L16" s="26" t="s">
        <v>98</v>
      </c>
      <c r="M16" s="20">
        <v>2</v>
      </c>
      <c r="N16" s="26" t="s">
        <v>98</v>
      </c>
      <c r="O16" s="20">
        <v>8</v>
      </c>
      <c r="P16" s="19" t="s">
        <v>313</v>
      </c>
    </row>
    <row r="17" spans="1:16" ht="67.95" customHeight="1" x14ac:dyDescent="0.3">
      <c r="A17" s="16" t="s">
        <v>330</v>
      </c>
      <c r="B17" s="18" t="s">
        <v>108</v>
      </c>
      <c r="C17" s="16" t="s">
        <v>252</v>
      </c>
      <c r="D17" s="16" t="s">
        <v>252</v>
      </c>
      <c r="E17" s="16" t="s">
        <v>331</v>
      </c>
      <c r="F17" s="16" t="s">
        <v>326</v>
      </c>
      <c r="G17" s="17" t="s">
        <v>332</v>
      </c>
      <c r="H17" s="16" t="s">
        <v>141</v>
      </c>
      <c r="I17" s="17" t="s">
        <v>328</v>
      </c>
      <c r="J17" s="16" t="s">
        <v>333</v>
      </c>
      <c r="K17" s="18" t="s">
        <v>162</v>
      </c>
      <c r="L17" s="24" t="s">
        <v>112</v>
      </c>
      <c r="M17" s="16" t="s">
        <v>252</v>
      </c>
      <c r="N17" s="24" t="s">
        <v>112</v>
      </c>
      <c r="O17" s="16">
        <v>9</v>
      </c>
      <c r="P17" s="19" t="s">
        <v>293</v>
      </c>
    </row>
    <row r="18" spans="1:16" ht="49.95" customHeight="1" x14ac:dyDescent="0.3">
      <c r="A18" s="20" t="s">
        <v>334</v>
      </c>
      <c r="B18" s="25" t="s">
        <v>108</v>
      </c>
      <c r="C18" s="20" t="s">
        <v>252</v>
      </c>
      <c r="D18" s="20" t="s">
        <v>252</v>
      </c>
      <c r="E18" s="20" t="s">
        <v>335</v>
      </c>
      <c r="F18" s="20" t="s">
        <v>326</v>
      </c>
      <c r="G18" s="21" t="s">
        <v>336</v>
      </c>
      <c r="H18" s="20" t="s">
        <v>141</v>
      </c>
      <c r="I18" s="21" t="s">
        <v>328</v>
      </c>
      <c r="J18" s="20" t="s">
        <v>337</v>
      </c>
      <c r="K18" s="25" t="s">
        <v>167</v>
      </c>
      <c r="L18" s="26" t="s">
        <v>98</v>
      </c>
      <c r="M18" s="20">
        <v>4</v>
      </c>
      <c r="N18" s="26" t="s">
        <v>98</v>
      </c>
      <c r="O18" s="20">
        <v>10</v>
      </c>
      <c r="P18" s="19" t="s">
        <v>313</v>
      </c>
    </row>
    <row r="19" spans="1:16" ht="67.95" customHeight="1" x14ac:dyDescent="0.3">
      <c r="A19" s="16" t="s">
        <v>338</v>
      </c>
      <c r="B19" s="18" t="s">
        <v>108</v>
      </c>
      <c r="C19" s="16" t="s">
        <v>252</v>
      </c>
      <c r="D19" s="16" t="s">
        <v>252</v>
      </c>
      <c r="E19" s="16" t="s">
        <v>339</v>
      </c>
      <c r="F19" s="16" t="s">
        <v>326</v>
      </c>
      <c r="G19" s="17" t="s">
        <v>340</v>
      </c>
      <c r="H19" s="16" t="s">
        <v>141</v>
      </c>
      <c r="I19" s="17" t="s">
        <v>328</v>
      </c>
      <c r="J19" s="16" t="s">
        <v>341</v>
      </c>
      <c r="K19" s="18" t="s">
        <v>155</v>
      </c>
      <c r="L19" s="24" t="s">
        <v>112</v>
      </c>
      <c r="M19" s="16" t="s">
        <v>252</v>
      </c>
      <c r="N19" s="24" t="s">
        <v>112</v>
      </c>
      <c r="O19" s="16">
        <v>11</v>
      </c>
      <c r="P19" s="19" t="s">
        <v>293</v>
      </c>
    </row>
    <row r="20" spans="1:16" ht="67.95" customHeight="1" x14ac:dyDescent="0.3">
      <c r="A20" s="20" t="s">
        <v>342</v>
      </c>
      <c r="B20" s="25" t="s">
        <v>108</v>
      </c>
      <c r="C20" s="20" t="s">
        <v>252</v>
      </c>
      <c r="D20" s="20" t="s">
        <v>252</v>
      </c>
      <c r="E20" s="20" t="s">
        <v>343</v>
      </c>
      <c r="F20" s="20" t="s">
        <v>326</v>
      </c>
      <c r="G20" s="21" t="s">
        <v>344</v>
      </c>
      <c r="H20" s="20" t="s">
        <v>141</v>
      </c>
      <c r="I20" s="21" t="s">
        <v>328</v>
      </c>
      <c r="J20" s="20" t="s">
        <v>345</v>
      </c>
      <c r="K20" s="25" t="s">
        <v>168</v>
      </c>
      <c r="L20" s="26" t="s">
        <v>98</v>
      </c>
      <c r="M20" s="20">
        <v>6</v>
      </c>
      <c r="N20" s="26" t="s">
        <v>98</v>
      </c>
      <c r="O20" s="20">
        <v>12</v>
      </c>
      <c r="P20" s="19" t="s">
        <v>313</v>
      </c>
    </row>
    <row r="21" spans="1:16" ht="26.4" x14ac:dyDescent="0.3">
      <c r="A21" s="16" t="s">
        <v>346</v>
      </c>
      <c r="B21" s="18" t="s">
        <v>108</v>
      </c>
      <c r="C21" s="16" t="s">
        <v>252</v>
      </c>
      <c r="D21" s="16" t="s">
        <v>252</v>
      </c>
      <c r="E21" s="16" t="s">
        <v>347</v>
      </c>
      <c r="F21" s="16" t="s">
        <v>326</v>
      </c>
      <c r="G21" s="17" t="s">
        <v>348</v>
      </c>
      <c r="H21" s="16" t="s">
        <v>141</v>
      </c>
      <c r="I21" s="17" t="s">
        <v>328</v>
      </c>
      <c r="J21" s="16" t="s">
        <v>349</v>
      </c>
      <c r="K21" s="18" t="s">
        <v>158</v>
      </c>
      <c r="L21" s="24" t="s">
        <v>112</v>
      </c>
      <c r="M21" s="16" t="s">
        <v>252</v>
      </c>
      <c r="N21" s="24" t="s">
        <v>112</v>
      </c>
      <c r="O21" s="16">
        <v>13</v>
      </c>
      <c r="P21" s="19" t="s">
        <v>293</v>
      </c>
    </row>
    <row r="22" spans="1:16" ht="26.4" x14ac:dyDescent="0.3">
      <c r="A22" s="20" t="s">
        <v>350</v>
      </c>
      <c r="B22" s="25" t="s">
        <v>108</v>
      </c>
      <c r="C22" s="20" t="s">
        <v>252</v>
      </c>
      <c r="D22" s="20" t="s">
        <v>252</v>
      </c>
      <c r="E22" s="20" t="s">
        <v>351</v>
      </c>
      <c r="F22" s="20" t="s">
        <v>326</v>
      </c>
      <c r="G22" s="21" t="s">
        <v>352</v>
      </c>
      <c r="H22" s="20" t="s">
        <v>141</v>
      </c>
      <c r="I22" s="21" t="s">
        <v>353</v>
      </c>
      <c r="J22" s="20" t="s">
        <v>354</v>
      </c>
      <c r="K22" s="25" t="s">
        <v>161</v>
      </c>
      <c r="L22" s="26" t="s">
        <v>112</v>
      </c>
      <c r="M22" s="20" t="s">
        <v>252</v>
      </c>
      <c r="N22" s="26" t="s">
        <v>112</v>
      </c>
      <c r="O22" s="20">
        <v>14</v>
      </c>
      <c r="P22" s="19" t="s">
        <v>293</v>
      </c>
    </row>
    <row r="23" spans="1:16" ht="26.4" x14ac:dyDescent="0.3">
      <c r="A23" s="16" t="s">
        <v>355</v>
      </c>
      <c r="B23" s="18" t="s">
        <v>108</v>
      </c>
      <c r="C23" s="16" t="s">
        <v>252</v>
      </c>
      <c r="D23" s="16" t="s">
        <v>252</v>
      </c>
      <c r="E23" s="16" t="s">
        <v>356</v>
      </c>
      <c r="F23" s="16" t="s">
        <v>326</v>
      </c>
      <c r="G23" s="17" t="s">
        <v>357</v>
      </c>
      <c r="H23" s="16" t="s">
        <v>141</v>
      </c>
      <c r="I23" s="17" t="s">
        <v>353</v>
      </c>
      <c r="J23" s="16" t="s">
        <v>358</v>
      </c>
      <c r="K23" s="18" t="s">
        <v>160</v>
      </c>
      <c r="L23" s="24" t="s">
        <v>112</v>
      </c>
      <c r="M23" s="16" t="s">
        <v>252</v>
      </c>
      <c r="N23" s="24" t="s">
        <v>112</v>
      </c>
      <c r="O23" s="16">
        <v>15</v>
      </c>
      <c r="P23" s="19" t="s">
        <v>293</v>
      </c>
    </row>
    <row r="24" spans="1:16" ht="26.4" x14ac:dyDescent="0.3">
      <c r="A24" s="20" t="s">
        <v>359</v>
      </c>
      <c r="B24" s="25" t="s">
        <v>108</v>
      </c>
      <c r="C24" s="20" t="s">
        <v>252</v>
      </c>
      <c r="D24" s="20" t="s">
        <v>252</v>
      </c>
      <c r="E24" s="20" t="s">
        <v>360</v>
      </c>
      <c r="F24" s="20" t="s">
        <v>326</v>
      </c>
      <c r="G24" s="21" t="s">
        <v>361</v>
      </c>
      <c r="H24" s="20" t="s">
        <v>141</v>
      </c>
      <c r="I24" s="21" t="s">
        <v>353</v>
      </c>
      <c r="J24" s="20" t="s">
        <v>362</v>
      </c>
      <c r="K24" s="25" t="s">
        <v>165</v>
      </c>
      <c r="L24" s="26" t="s">
        <v>112</v>
      </c>
      <c r="M24" s="20" t="s">
        <v>252</v>
      </c>
      <c r="N24" s="26" t="s">
        <v>112</v>
      </c>
      <c r="O24" s="20">
        <v>16</v>
      </c>
      <c r="P24" s="19" t="s">
        <v>293</v>
      </c>
    </row>
    <row r="25" spans="1:16" ht="26.4" x14ac:dyDescent="0.3">
      <c r="A25" s="16" t="s">
        <v>363</v>
      </c>
      <c r="B25" s="18" t="s">
        <v>108</v>
      </c>
      <c r="C25" s="16" t="s">
        <v>252</v>
      </c>
      <c r="D25" s="16" t="s">
        <v>252</v>
      </c>
      <c r="E25" s="16" t="s">
        <v>364</v>
      </c>
      <c r="F25" s="16" t="s">
        <v>326</v>
      </c>
      <c r="G25" s="17" t="s">
        <v>365</v>
      </c>
      <c r="H25" s="16" t="s">
        <v>141</v>
      </c>
      <c r="I25" s="17" t="s">
        <v>353</v>
      </c>
      <c r="J25" s="16" t="s">
        <v>366</v>
      </c>
      <c r="K25" s="18" t="s">
        <v>157</v>
      </c>
      <c r="L25" s="24" t="s">
        <v>112</v>
      </c>
      <c r="M25" s="16" t="s">
        <v>252</v>
      </c>
      <c r="N25" s="24" t="s">
        <v>112</v>
      </c>
      <c r="O25" s="16">
        <v>17</v>
      </c>
      <c r="P25" s="19" t="s">
        <v>293</v>
      </c>
    </row>
    <row r="26" spans="1:16" ht="14.4" x14ac:dyDescent="0.3">
      <c r="A26" s="20"/>
      <c r="B26" s="20"/>
      <c r="C26" s="20"/>
      <c r="D26" s="20"/>
      <c r="E26" s="20"/>
      <c r="F26" s="20"/>
      <c r="G26" s="21"/>
      <c r="H26" s="20"/>
      <c r="I26" s="21"/>
      <c r="J26" s="20"/>
      <c r="K26" s="20"/>
      <c r="L26" s="26"/>
      <c r="M26" s="20"/>
      <c r="N26" s="26"/>
      <c r="O26" s="20"/>
      <c r="P26" s="22"/>
    </row>
    <row r="27" spans="1:16" ht="14.4" x14ac:dyDescent="0.3">
      <c r="A27" s="16"/>
      <c r="B27" s="16"/>
      <c r="C27" s="16"/>
      <c r="D27" s="16"/>
      <c r="E27" s="16"/>
      <c r="F27" s="16"/>
      <c r="G27" s="17"/>
      <c r="H27" s="16"/>
      <c r="I27" s="17"/>
      <c r="J27" s="16"/>
      <c r="K27" s="16"/>
      <c r="L27" s="24"/>
      <c r="M27" s="16"/>
      <c r="N27" s="24"/>
      <c r="O27" s="16"/>
      <c r="P27" s="22"/>
    </row>
    <row r="28" spans="1:16" ht="14.4" x14ac:dyDescent="0.3">
      <c r="A28" s="20"/>
      <c r="B28" s="20"/>
      <c r="C28" s="20"/>
      <c r="D28" s="20"/>
      <c r="E28" s="20"/>
      <c r="F28" s="20"/>
      <c r="G28" s="21"/>
      <c r="H28" s="20"/>
      <c r="I28" s="21"/>
      <c r="J28" s="20"/>
      <c r="K28" s="20"/>
      <c r="L28" s="26"/>
      <c r="M28" s="20"/>
      <c r="N28" s="26"/>
      <c r="O28" s="20"/>
      <c r="P28" s="22"/>
    </row>
    <row r="29" spans="1:16" ht="14.4" x14ac:dyDescent="0.3">
      <c r="A29" s="16"/>
      <c r="B29" s="16"/>
      <c r="C29" s="16"/>
      <c r="D29" s="16"/>
      <c r="E29" s="16"/>
      <c r="F29" s="16"/>
      <c r="G29" s="17"/>
      <c r="H29" s="16"/>
      <c r="I29" s="17"/>
      <c r="J29" s="16"/>
      <c r="K29" s="16"/>
      <c r="L29" s="24"/>
      <c r="M29" s="16"/>
      <c r="N29" s="24"/>
      <c r="O29" s="16"/>
      <c r="P29" s="22"/>
    </row>
    <row r="30" spans="1:16" ht="14.4" x14ac:dyDescent="0.3">
      <c r="A30" s="20"/>
      <c r="B30" s="20"/>
      <c r="C30" s="20"/>
      <c r="D30" s="20"/>
      <c r="E30" s="20"/>
      <c r="F30" s="20"/>
      <c r="G30" s="21"/>
      <c r="H30" s="20"/>
      <c r="I30" s="21"/>
      <c r="J30" s="20"/>
      <c r="K30" s="20"/>
      <c r="L30" s="26"/>
      <c r="M30" s="20"/>
      <c r="N30" s="26"/>
      <c r="O30" s="20"/>
      <c r="P30" s="22"/>
    </row>
    <row r="31" spans="1:16" ht="14.4" x14ac:dyDescent="0.3">
      <c r="A31" s="16"/>
      <c r="B31" s="16"/>
      <c r="C31" s="16"/>
      <c r="D31" s="16"/>
      <c r="E31" s="16"/>
      <c r="F31" s="16"/>
      <c r="G31" s="17"/>
      <c r="H31" s="16"/>
      <c r="I31" s="17"/>
      <c r="J31" s="16"/>
      <c r="K31" s="16"/>
      <c r="L31" s="24"/>
      <c r="M31" s="16"/>
      <c r="N31" s="24"/>
      <c r="O31" s="16"/>
      <c r="P31" s="22"/>
    </row>
    <row r="32" spans="1:16" ht="14.4" x14ac:dyDescent="0.3">
      <c r="A32" s="20"/>
      <c r="B32" s="20"/>
      <c r="C32" s="20"/>
      <c r="D32" s="20"/>
      <c r="E32" s="20"/>
      <c r="F32" s="20"/>
      <c r="G32" s="21"/>
      <c r="H32" s="20"/>
      <c r="I32" s="21"/>
      <c r="J32" s="20"/>
      <c r="K32" s="20"/>
      <c r="L32" s="26"/>
      <c r="M32" s="20"/>
      <c r="N32" s="26"/>
      <c r="O32" s="20"/>
      <c r="P32" s="22"/>
    </row>
    <row r="33" spans="1:16" ht="14.4" x14ac:dyDescent="0.3">
      <c r="A33" s="16"/>
      <c r="B33" s="16"/>
      <c r="C33" s="16"/>
      <c r="D33" s="16"/>
      <c r="E33" s="16"/>
      <c r="F33" s="16"/>
      <c r="G33" s="17"/>
      <c r="H33" s="16"/>
      <c r="I33" s="17"/>
      <c r="J33" s="16"/>
      <c r="K33" s="16"/>
      <c r="L33" s="24"/>
      <c r="M33" s="16"/>
      <c r="N33" s="24"/>
      <c r="O33" s="16"/>
      <c r="P33" s="22"/>
    </row>
    <row r="34" spans="1:16" ht="14.4" x14ac:dyDescent="0.3">
      <c r="A34" s="20"/>
      <c r="B34" s="20"/>
      <c r="C34" s="20"/>
      <c r="D34" s="20"/>
      <c r="E34" s="20"/>
      <c r="F34" s="20"/>
      <c r="G34" s="21"/>
      <c r="H34" s="20"/>
      <c r="I34" s="21"/>
      <c r="J34" s="20"/>
      <c r="K34" s="20"/>
      <c r="L34" s="26"/>
      <c r="M34" s="20"/>
      <c r="N34" s="26"/>
      <c r="O34" s="20"/>
      <c r="P34" s="22"/>
    </row>
    <row r="35" spans="1:16" ht="14.4" x14ac:dyDescent="0.3">
      <c r="A35" s="16"/>
      <c r="B35" s="16"/>
      <c r="C35" s="16"/>
      <c r="D35" s="16"/>
      <c r="E35" s="16"/>
      <c r="F35" s="16"/>
      <c r="G35" s="17"/>
      <c r="H35" s="16"/>
      <c r="I35" s="17"/>
      <c r="J35" s="16"/>
      <c r="K35" s="16"/>
      <c r="L35" s="24"/>
      <c r="M35" s="16"/>
      <c r="N35" s="24"/>
      <c r="O35" s="16"/>
      <c r="P35" s="22"/>
    </row>
    <row r="36" spans="1:16" ht="14.4" x14ac:dyDescent="0.3">
      <c r="A36" s="20"/>
      <c r="B36" s="20"/>
      <c r="C36" s="20"/>
      <c r="D36" s="20"/>
      <c r="E36" s="20"/>
      <c r="F36" s="20"/>
      <c r="G36" s="21"/>
      <c r="H36" s="20"/>
      <c r="I36" s="21"/>
      <c r="J36" s="20"/>
      <c r="K36" s="20"/>
      <c r="L36" s="26"/>
      <c r="M36" s="20"/>
      <c r="N36" s="26"/>
      <c r="O36" s="20"/>
      <c r="P36" s="22"/>
    </row>
    <row r="37" spans="1:16" ht="14.4" x14ac:dyDescent="0.3">
      <c r="A37" s="16"/>
      <c r="B37" s="16"/>
      <c r="C37" s="16"/>
      <c r="D37" s="16"/>
      <c r="E37" s="16"/>
      <c r="F37" s="16"/>
      <c r="G37" s="17"/>
      <c r="H37" s="16"/>
      <c r="I37" s="17"/>
      <c r="J37" s="16"/>
      <c r="K37" s="16"/>
      <c r="L37" s="24"/>
      <c r="M37" s="16"/>
      <c r="N37" s="24"/>
      <c r="O37" s="16"/>
      <c r="P37" s="22"/>
    </row>
    <row r="38" spans="1:16" ht="14.4" x14ac:dyDescent="0.3">
      <c r="A38" s="9"/>
      <c r="B38" s="9"/>
      <c r="C38" s="9"/>
      <c r="D38" s="9"/>
      <c r="E38" s="9"/>
      <c r="F38" s="9"/>
      <c r="G38" s="8"/>
      <c r="H38" s="9"/>
      <c r="I38" s="8"/>
      <c r="J38" s="9"/>
      <c r="K38" s="9"/>
      <c r="L38" s="9"/>
      <c r="M38" s="9"/>
      <c r="N38" s="9"/>
      <c r="O38" s="9"/>
      <c r="P38" s="9"/>
    </row>
    <row r="39" spans="1:16" ht="14.4" x14ac:dyDescent="0.3">
      <c r="A39" s="9"/>
      <c r="B39" s="9"/>
      <c r="C39" s="9"/>
      <c r="D39" s="9"/>
      <c r="E39" s="9"/>
      <c r="F39" s="9"/>
      <c r="G39" s="8"/>
      <c r="H39" s="9"/>
      <c r="I39" s="8"/>
      <c r="J39" s="9"/>
      <c r="K39" s="9"/>
      <c r="L39" s="9"/>
      <c r="M39" s="9"/>
      <c r="N39" s="9"/>
      <c r="O39" s="9"/>
      <c r="P39" s="9"/>
    </row>
    <row r="40" spans="1:16" ht="14.4" x14ac:dyDescent="0.3">
      <c r="A40" s="9"/>
      <c r="B40" s="9"/>
      <c r="C40" s="9"/>
      <c r="D40" s="9"/>
      <c r="E40" s="9"/>
      <c r="F40" s="9"/>
      <c r="G40" s="8"/>
      <c r="H40" s="9"/>
      <c r="I40" s="8"/>
      <c r="J40" s="9"/>
      <c r="K40" s="9"/>
      <c r="L40" s="9"/>
      <c r="M40" s="9"/>
      <c r="N40" s="9"/>
      <c r="O40" s="9"/>
      <c r="P40" s="9"/>
    </row>
    <row r="41" spans="1:16" ht="14.4" x14ac:dyDescent="0.3">
      <c r="A41" s="9"/>
      <c r="B41" s="9"/>
      <c r="C41" s="9"/>
      <c r="D41" s="9"/>
      <c r="E41" s="9"/>
      <c r="F41" s="9"/>
      <c r="G41" s="8"/>
      <c r="H41" s="9"/>
      <c r="I41" s="8"/>
      <c r="J41" s="9"/>
      <c r="K41" s="9"/>
      <c r="L41" s="9"/>
      <c r="M41" s="9"/>
      <c r="N41" s="9"/>
      <c r="O41" s="9"/>
      <c r="P41" s="9"/>
    </row>
    <row r="42" spans="1:16" ht="14.4" x14ac:dyDescent="0.3">
      <c r="A42" s="9"/>
      <c r="B42" s="9"/>
      <c r="C42" s="9"/>
      <c r="D42" s="9"/>
      <c r="E42" s="9"/>
      <c r="F42" s="9"/>
      <c r="G42" s="8"/>
      <c r="H42" s="9"/>
      <c r="I42" s="8"/>
      <c r="J42" s="9"/>
      <c r="K42" s="9"/>
      <c r="L42" s="9"/>
      <c r="M42" s="9"/>
      <c r="N42" s="9"/>
      <c r="O42" s="9"/>
      <c r="P42" s="9"/>
    </row>
  </sheetData>
  <autoFilter ref="A8:P8" xr:uid="{00000000-0009-0000-0000-000006000000}"/>
  <mergeCells count="15">
    <mergeCell ref="A7:P7"/>
    <mergeCell ref="A5:P5"/>
    <mergeCell ref="A6:B6"/>
    <mergeCell ref="C6:D6"/>
    <mergeCell ref="E6:F6"/>
    <mergeCell ref="G6:H6"/>
    <mergeCell ref="A1:P1"/>
    <mergeCell ref="A2:P2"/>
    <mergeCell ref="A3:P3"/>
    <mergeCell ref="A4:B4"/>
    <mergeCell ref="C4:D4"/>
    <mergeCell ref="E4:F4"/>
    <mergeCell ref="G4:H4"/>
    <mergeCell ref="I4:J4"/>
    <mergeCell ref="K4:L4"/>
  </mergeCells>
  <dataValidations count="1">
    <dataValidation type="whole" operator="greaterThan" allowBlank="1" sqref="O9:O37 M9:M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32" tooltip="testimonial-client8 -&gt; ASSETS" display="testimonial-client8" xr:uid="{00000000-0004-0000-0600-000007000000}"/>
    <hyperlink ref="B10" location="#'TESTIMONIAL_SOURCES'!A9" tooltip="fiverr -&gt; TESTIMONIAL_SOURCES" display="fiverr" xr:uid="{00000000-0004-0000-0600-000008000000}"/>
    <hyperlink ref="K10" location="#'ASSETS'!A40" tooltip="testimonial-client13 -&gt; ASSETS" display="testimonial-client13" xr:uid="{00000000-0004-0000-0600-000009000000}"/>
    <hyperlink ref="B11" location="#'TESTIMONIAL_SOURCES'!A9" tooltip="fiverr -&gt; TESTIMONIAL_SOURCES" display="fiverr" xr:uid="{00000000-0004-0000-0600-00000A000000}"/>
    <hyperlink ref="K11" location="#'ASSETS'!A41" tooltip="testimonial-client14 -&gt; ASSETS" display="testimonial-client14"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39" tooltip="testimonial-client12 -&gt; ASSETS" display="testimonial-client12" xr:uid="{00000000-0004-0000-0600-00000F000000}"/>
    <hyperlink ref="B14" location="#'TESTIMONIAL_SOURCES'!A9" tooltip="fiverr -&gt; TESTIMONIAL_SOURCES" display="fiverr" xr:uid="{00000000-0004-0000-0600-000010000000}"/>
    <hyperlink ref="K14" location="#'ASSETS'!A42" tooltip="testimonial-client15 -&gt; ASSETS" display="testimonial-client15" xr:uid="{00000000-0004-0000-0600-000011000000}"/>
    <hyperlink ref="B15" location="#'TESTIMONIAL_SOURCES'!A9" tooltip="fiverr -&gt; TESTIMONIAL_SOURCES" display="fiverr" xr:uid="{00000000-0004-0000-0600-000012000000}"/>
    <hyperlink ref="K15" location="#'ASSETS'!A29" tooltip="testimonial-client5 -&gt; ASSETS" display="testimonial-client5" xr:uid="{00000000-0004-0000-0600-000013000000}"/>
    <hyperlink ref="B16" location="#'TESTIMONIAL_SOURCES'!A9" tooltip="fiverr -&gt; TESTIMONIAL_SOURCES" display="fiverr" xr:uid="{00000000-0004-0000-0600-000014000000}"/>
    <hyperlink ref="K16" location="#'ASSETS'!A36" tooltip="testimonial-pack-leaf -&gt; ASSETS" display="testimonial-pack-leaf" xr:uid="{00000000-0004-0000-0600-000015000000}"/>
    <hyperlink ref="B17" location="#'TESTIMONIAL_SOURCES'!A9" tooltip="fiverr -&gt; TESTIMONIAL_SOURCES" display="fiverr" xr:uid="{00000000-0004-0000-0600-000016000000}"/>
    <hyperlink ref="K17" location="#'ASSETS'!A32" tooltip="testimonial-client8 -&gt; ASSETS" display="testimonial-client8" xr:uid="{00000000-0004-0000-0600-000017000000}"/>
    <hyperlink ref="B18" location="#'TESTIMONIAL_SOURCES'!A9" tooltip="fiverr -&gt; TESTIMONIAL_SOURCES" display="fiverr" xr:uid="{00000000-0004-0000-0600-000018000000}"/>
    <hyperlink ref="K18" location="#'ASSETS'!A37" tooltip="testimonial-pack-av -&gt; ASSETS" display="testimonial-pack-av"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38" tooltip="testimonial-pack-signature -&gt; ASSETS" display="testimonial-pack-signature"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31" tooltip="testimonial-client7 -&gt; ASSETS" display="testimonial-client7" xr:uid="{00000000-0004-0000-0600-000021000000}"/>
    <hyperlink ref="B23" location="#'TESTIMONIAL_SOURCES'!A9" tooltip="fiverr -&gt; TESTIMONIAL_SOURCES" display="fiverr" xr:uid="{00000000-0004-0000-0600-000022000000}"/>
    <hyperlink ref="K23" location="#'ASSETS'!A30" tooltip="testimonial-client6 -&gt; ASSETS" display="testimonial-client6" xr:uid="{00000000-0004-0000-0600-000023000000}"/>
    <hyperlink ref="B24" location="#'TESTIMONIAL_SOURCES'!A9" tooltip="fiverr -&gt; TESTIMONIAL_SOURCES" display="fiverr" xr:uid="{00000000-0004-0000-0600-000024000000}"/>
    <hyperlink ref="K24" location="#'ASSETS'!A35" tooltip="testimonial-client11 -&gt; ASSETS" display="testimonial-client11" xr:uid="{00000000-0004-0000-0600-000025000000}"/>
    <hyperlink ref="B25" location="#'TESTIMONIAL_SOURCES'!A9" tooltip="fiverr -&gt; TESTIMONIAL_SOURCES" display="fiverr" xr:uid="{00000000-0004-0000-0600-000026000000}"/>
    <hyperlink ref="K25" location="#'ASSETS'!A27" tooltip="testimonial-client1 -&gt; ASSETS" display="testimonial-client1"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_LOOKUPS!$N$2:$N$37</xm:f>
          </x14:formula1>
          <xm:sqref>K9:K37</xm:sqref>
        </x14:dataValidation>
        <x14:dataValidation type="list" allowBlank="1" xr:uid="{00000000-0002-0000-0600-000006000000}">
          <x14:formula1>
            <xm:f>_LOOKUPS!$A$2:$A$3</xm:f>
          </x14:formula1>
          <xm:sqref>N9:N37 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88" t="s">
        <v>79</v>
      </c>
      <c r="B1" s="88"/>
      <c r="C1" s="88"/>
      <c r="D1" s="88"/>
      <c r="E1" s="88"/>
      <c r="F1" s="88"/>
      <c r="G1" s="88"/>
      <c r="H1" s="88"/>
      <c r="I1" s="88"/>
      <c r="J1" s="88"/>
      <c r="K1" s="88"/>
      <c r="L1" s="88"/>
      <c r="M1" s="88"/>
      <c r="N1" s="88"/>
      <c r="O1" s="88"/>
      <c r="P1" s="88"/>
      <c r="Q1" s="88"/>
    </row>
    <row r="2" spans="1:17" ht="22.05" customHeight="1" x14ac:dyDescent="0.3">
      <c r="A2" s="89" t="s">
        <v>367</v>
      </c>
      <c r="B2" s="89"/>
      <c r="C2" s="89"/>
      <c r="D2" s="89"/>
      <c r="E2" s="89"/>
      <c r="F2" s="89"/>
      <c r="G2" s="89"/>
      <c r="H2" s="89"/>
      <c r="I2" s="89"/>
      <c r="J2" s="89"/>
      <c r="K2" s="89"/>
      <c r="L2" s="89"/>
      <c r="M2" s="89"/>
      <c r="N2" s="89"/>
      <c r="O2" s="89"/>
      <c r="P2" s="89"/>
      <c r="Q2" s="89"/>
    </row>
    <row r="3" spans="1:17" ht="19.95" customHeight="1" x14ac:dyDescent="0.3">
      <c r="A3" s="98" t="s">
        <v>176</v>
      </c>
      <c r="B3" s="98"/>
      <c r="C3" s="98"/>
      <c r="D3" s="98"/>
      <c r="E3" s="98"/>
      <c r="F3" s="98"/>
      <c r="G3" s="98"/>
      <c r="H3" s="98"/>
      <c r="I3" s="98"/>
      <c r="J3" s="98"/>
      <c r="K3" s="98"/>
      <c r="L3" s="98"/>
      <c r="M3" s="98"/>
      <c r="N3" s="98"/>
      <c r="O3" s="98"/>
      <c r="P3" s="98"/>
      <c r="Q3" s="98"/>
    </row>
    <row r="4" spans="1:17" ht="19.95" customHeight="1" x14ac:dyDescent="0.3">
      <c r="A4" s="61" t="s">
        <v>61</v>
      </c>
      <c r="B4" s="61"/>
      <c r="C4" s="61" t="s">
        <v>177</v>
      </c>
      <c r="D4" s="61"/>
      <c r="E4" s="61" t="s">
        <v>368</v>
      </c>
      <c r="F4" s="61"/>
      <c r="G4" s="61" t="s">
        <v>369</v>
      </c>
      <c r="H4" s="61"/>
      <c r="I4" s="61" t="s">
        <v>51</v>
      </c>
      <c r="J4" s="61"/>
      <c r="K4" s="61" t="s">
        <v>56</v>
      </c>
      <c r="L4" s="61"/>
      <c r="M4" s="61" t="s">
        <v>58</v>
      </c>
      <c r="N4" s="61"/>
      <c r="O4" s="9"/>
      <c r="P4" s="9"/>
      <c r="Q4" s="9"/>
    </row>
    <row r="5" spans="1:17" ht="19.95" customHeight="1" x14ac:dyDescent="0.3">
      <c r="A5" s="43" t="s">
        <v>232</v>
      </c>
      <c r="B5" s="43"/>
      <c r="C5" s="43"/>
      <c r="D5" s="43"/>
      <c r="E5" s="43"/>
      <c r="F5" s="43"/>
      <c r="G5" s="43"/>
      <c r="H5" s="43"/>
      <c r="I5" s="43"/>
      <c r="J5" s="43"/>
      <c r="K5" s="43"/>
      <c r="L5" s="43"/>
      <c r="M5" s="43"/>
      <c r="N5" s="43"/>
      <c r="O5" s="43"/>
      <c r="P5" s="43"/>
      <c r="Q5" s="43"/>
    </row>
    <row r="6" spans="1:17" ht="18" customHeight="1" x14ac:dyDescent="0.3">
      <c r="A6" s="91" t="s">
        <v>180</v>
      </c>
      <c r="B6" s="91"/>
      <c r="C6" s="92" t="s">
        <v>181</v>
      </c>
      <c r="D6" s="92"/>
      <c r="E6" s="93" t="s">
        <v>182</v>
      </c>
      <c r="F6" s="93"/>
      <c r="G6" s="94" t="s">
        <v>183</v>
      </c>
      <c r="H6" s="94"/>
      <c r="I6" s="9"/>
      <c r="J6" s="9"/>
      <c r="K6" s="9"/>
      <c r="L6" s="8"/>
      <c r="M6" s="9"/>
      <c r="N6" s="9"/>
      <c r="O6" s="9"/>
      <c r="P6" s="9"/>
      <c r="Q6" s="9"/>
    </row>
    <row r="7" spans="1:17" ht="22.05" customHeight="1" x14ac:dyDescent="0.3">
      <c r="A7" s="95" t="s">
        <v>184</v>
      </c>
      <c r="B7" s="95"/>
      <c r="C7" s="95"/>
      <c r="D7" s="95"/>
      <c r="E7" s="95"/>
      <c r="F7" s="95"/>
      <c r="G7" s="95"/>
      <c r="H7" s="95"/>
      <c r="I7" s="95"/>
      <c r="J7" s="95"/>
      <c r="K7" s="95"/>
      <c r="L7" s="95"/>
      <c r="M7" s="95"/>
      <c r="N7" s="95"/>
      <c r="O7" s="95"/>
      <c r="P7" s="95"/>
      <c r="Q7" s="95"/>
    </row>
    <row r="8" spans="1:17" ht="14.4" x14ac:dyDescent="0.3">
      <c r="A8" s="14" t="s">
        <v>370</v>
      </c>
      <c r="B8" s="14" t="s">
        <v>371</v>
      </c>
      <c r="C8" s="14" t="s">
        <v>372</v>
      </c>
      <c r="D8" s="14" t="s">
        <v>215</v>
      </c>
      <c r="E8" s="14" t="s">
        <v>373</v>
      </c>
      <c r="F8" s="14" t="s">
        <v>374</v>
      </c>
      <c r="G8" s="14" t="s">
        <v>375</v>
      </c>
      <c r="H8" s="14" t="s">
        <v>376</v>
      </c>
      <c r="I8" s="14" t="s">
        <v>377</v>
      </c>
      <c r="J8" s="14" t="s">
        <v>378</v>
      </c>
      <c r="K8" s="14" t="s">
        <v>379</v>
      </c>
      <c r="L8" s="14" t="s">
        <v>380</v>
      </c>
      <c r="M8" s="14" t="s">
        <v>381</v>
      </c>
      <c r="N8" s="14" t="s">
        <v>382</v>
      </c>
      <c r="O8" s="14" t="s">
        <v>383</v>
      </c>
      <c r="P8" s="14" t="s">
        <v>384</v>
      </c>
      <c r="Q8" s="15" t="s">
        <v>196</v>
      </c>
    </row>
    <row r="9" spans="1:17" ht="49.95" customHeight="1" x14ac:dyDescent="0.3">
      <c r="A9" s="16" t="s">
        <v>385</v>
      </c>
      <c r="B9" s="16" t="s">
        <v>386</v>
      </c>
      <c r="C9" s="16" t="s">
        <v>387</v>
      </c>
      <c r="D9" s="17" t="s">
        <v>388</v>
      </c>
      <c r="E9" s="16" t="s">
        <v>389</v>
      </c>
      <c r="F9" s="16" t="s">
        <v>390</v>
      </c>
      <c r="G9" s="16" t="s">
        <v>391</v>
      </c>
      <c r="H9" s="16" t="s">
        <v>392</v>
      </c>
      <c r="I9" s="16" t="s">
        <v>393</v>
      </c>
      <c r="J9" s="16" t="s">
        <v>394</v>
      </c>
      <c r="K9" s="16" t="s">
        <v>395</v>
      </c>
      <c r="L9" s="17" t="s">
        <v>396</v>
      </c>
      <c r="M9" s="16" t="s">
        <v>397</v>
      </c>
      <c r="N9" s="16" t="s">
        <v>398</v>
      </c>
      <c r="O9" s="16" t="s">
        <v>399</v>
      </c>
      <c r="P9" s="16" t="s">
        <v>400</v>
      </c>
      <c r="Q9" s="19" t="s">
        <v>207</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7:Q7"/>
    <mergeCell ref="A5:Q5"/>
    <mergeCell ref="A6:B6"/>
    <mergeCell ref="C6:D6"/>
    <mergeCell ref="E6:F6"/>
    <mergeCell ref="G6:H6"/>
    <mergeCell ref="A1:Q1"/>
    <mergeCell ref="A2:Q2"/>
    <mergeCell ref="A3:Q3"/>
    <mergeCell ref="A4:B4"/>
    <mergeCell ref="C4:D4"/>
    <mergeCell ref="E4:F4"/>
    <mergeCell ref="G4:H4"/>
    <mergeCell ref="I4:J4"/>
    <mergeCell ref="K4:L4"/>
    <mergeCell ref="M4:N4"/>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N59"/>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9" width="42" style="7" customWidth="1"/>
    <col min="10" max="11" width="18" style="6" customWidth="1"/>
    <col min="12" max="12" width="32" style="7" customWidth="1"/>
    <col min="13" max="13" width="18" style="6" customWidth="1"/>
    <col min="14" max="14" width="32" style="6" customWidth="1"/>
  </cols>
  <sheetData>
    <row r="1" spans="1:14" ht="28.05" customHeight="1" x14ac:dyDescent="0.3">
      <c r="A1" s="88" t="s">
        <v>63</v>
      </c>
      <c r="B1" s="88"/>
      <c r="C1" s="88"/>
      <c r="D1" s="88"/>
      <c r="E1" s="88"/>
      <c r="F1" s="88"/>
      <c r="G1" s="88"/>
      <c r="H1" s="88"/>
      <c r="I1" s="88"/>
      <c r="J1" s="88"/>
      <c r="K1" s="88"/>
      <c r="L1" s="88"/>
      <c r="M1" s="88"/>
      <c r="N1" s="88"/>
    </row>
    <row r="2" spans="1:14" ht="22.05" customHeight="1" x14ac:dyDescent="0.3">
      <c r="A2" s="89" t="s">
        <v>401</v>
      </c>
      <c r="B2" s="89"/>
      <c r="C2" s="89"/>
      <c r="D2" s="89"/>
      <c r="E2" s="89"/>
      <c r="F2" s="89"/>
      <c r="G2" s="89"/>
      <c r="H2" s="89"/>
      <c r="I2" s="89"/>
      <c r="J2" s="89"/>
      <c r="K2" s="89"/>
      <c r="L2" s="89"/>
      <c r="M2" s="89"/>
      <c r="N2" s="89"/>
    </row>
    <row r="3" spans="1:14" ht="19.95" customHeight="1" x14ac:dyDescent="0.3">
      <c r="A3" s="99" t="s">
        <v>176</v>
      </c>
      <c r="B3" s="99"/>
      <c r="C3" s="99"/>
      <c r="D3" s="99"/>
      <c r="E3" s="99"/>
      <c r="F3" s="99"/>
      <c r="G3" s="99"/>
      <c r="H3" s="99"/>
      <c r="I3" s="99"/>
      <c r="J3" s="99"/>
      <c r="K3" s="99"/>
      <c r="L3" s="99"/>
      <c r="M3" s="99"/>
      <c r="N3" s="99"/>
    </row>
    <row r="4" spans="1:14" ht="19.95" customHeight="1" x14ac:dyDescent="0.3">
      <c r="A4" s="63" t="s">
        <v>61</v>
      </c>
      <c r="B4" s="63"/>
      <c r="C4" s="63" t="s">
        <v>177</v>
      </c>
      <c r="D4" s="63"/>
      <c r="E4" s="63" t="s">
        <v>402</v>
      </c>
      <c r="F4" s="63"/>
      <c r="G4" s="63" t="s">
        <v>403</v>
      </c>
      <c r="H4" s="63"/>
      <c r="I4" s="63" t="s">
        <v>80</v>
      </c>
      <c r="J4" s="63"/>
      <c r="K4" s="63" t="s">
        <v>29</v>
      </c>
      <c r="L4" s="63"/>
      <c r="M4" s="63" t="s">
        <v>30</v>
      </c>
      <c r="N4" s="63"/>
    </row>
    <row r="5" spans="1:14" ht="19.95" customHeight="1" x14ac:dyDescent="0.3">
      <c r="A5" s="43" t="s">
        <v>232</v>
      </c>
      <c r="B5" s="43"/>
      <c r="C5" s="43"/>
      <c r="D5" s="43"/>
      <c r="E5" s="43"/>
      <c r="F5" s="43"/>
      <c r="G5" s="43"/>
      <c r="H5" s="43"/>
      <c r="I5" s="43"/>
      <c r="J5" s="43"/>
      <c r="K5" s="43"/>
      <c r="L5" s="43"/>
      <c r="M5" s="43"/>
      <c r="N5" s="43"/>
    </row>
    <row r="6" spans="1:14" ht="18" customHeight="1" x14ac:dyDescent="0.3">
      <c r="A6" s="91" t="s">
        <v>180</v>
      </c>
      <c r="B6" s="91"/>
      <c r="C6" s="92" t="s">
        <v>181</v>
      </c>
      <c r="D6" s="92"/>
      <c r="E6" s="93" t="s">
        <v>182</v>
      </c>
      <c r="F6" s="93"/>
      <c r="G6" s="94" t="s">
        <v>183</v>
      </c>
      <c r="H6" s="94"/>
      <c r="I6" s="8"/>
      <c r="J6" s="9"/>
      <c r="K6" s="9"/>
      <c r="L6" s="8"/>
      <c r="M6" s="9"/>
      <c r="N6" s="9"/>
    </row>
    <row r="7" spans="1:14" ht="22.05" customHeight="1" x14ac:dyDescent="0.3">
      <c r="A7" s="95" t="s">
        <v>184</v>
      </c>
      <c r="B7" s="95"/>
      <c r="C7" s="95"/>
      <c r="D7" s="95"/>
      <c r="E7" s="95"/>
      <c r="F7" s="95"/>
      <c r="G7" s="95"/>
      <c r="H7" s="95"/>
      <c r="I7" s="95"/>
      <c r="J7" s="95"/>
      <c r="K7" s="95"/>
      <c r="L7" s="95"/>
      <c r="M7" s="95"/>
      <c r="N7" s="95"/>
    </row>
    <row r="8" spans="1:14" ht="14.4" x14ac:dyDescent="0.3">
      <c r="A8" s="14" t="s">
        <v>404</v>
      </c>
      <c r="B8" s="14" t="s">
        <v>405</v>
      </c>
      <c r="C8" s="14" t="s">
        <v>406</v>
      </c>
      <c r="D8" s="14" t="s">
        <v>407</v>
      </c>
      <c r="E8" s="23" t="s">
        <v>408</v>
      </c>
      <c r="F8" s="23" t="s">
        <v>409</v>
      </c>
      <c r="G8" s="23" t="s">
        <v>410</v>
      </c>
      <c r="H8" s="14" t="s">
        <v>246</v>
      </c>
      <c r="I8" s="27" t="s">
        <v>411</v>
      </c>
      <c r="J8" s="27" t="s">
        <v>412</v>
      </c>
      <c r="K8" s="27" t="s">
        <v>413</v>
      </c>
      <c r="L8" s="27" t="s">
        <v>414</v>
      </c>
      <c r="M8" s="27" t="s">
        <v>415</v>
      </c>
      <c r="N8" s="15" t="s">
        <v>196</v>
      </c>
    </row>
    <row r="9" spans="1:14" ht="14.4" x14ac:dyDescent="0.3">
      <c r="A9" s="16" t="s">
        <v>109</v>
      </c>
      <c r="B9" s="16" t="s">
        <v>100</v>
      </c>
      <c r="C9" s="16" t="s">
        <v>101</v>
      </c>
      <c r="D9" s="17" t="s">
        <v>416</v>
      </c>
      <c r="E9" s="17" t="s">
        <v>416</v>
      </c>
      <c r="F9" s="16" t="s">
        <v>417</v>
      </c>
      <c r="G9" s="17" t="s">
        <v>418</v>
      </c>
      <c r="H9" s="24" t="s">
        <v>98</v>
      </c>
      <c r="I9" s="28" t="str">
        <f t="shared" ref="I9:I54" si="0">IF($A9="","",IF(UPPER($H9)&lt;&gt;"TRUE","",IF($C9="import_local",IF($E9&lt;&gt;"",$E9,""),IF($C9="external_url",$D9,IF(IF($D9&lt;&gt;"",$D9,$E9)&lt;&gt;"",IF($D9&lt;&gt;"",$D9,$E9),"")))))</f>
        <v>/assets/alberto.webp</v>
      </c>
      <c r="J9" s="1" t="e">
        <f ca="1">IF($A9="","",IF(UPPER($H9)&lt;&gt;"TRUE","Disabled",HYPERLINK("http://127.0.0.1:5173/__dev/asset-source"&amp;"?assetId="&amp;_xludf.ENCODEURL($A9)&amp;"&amp;sig="&amp;_xludf.ENCODEURL($B9&amp;"|"&amp;$C9&amp;"|"&amp;$D9&amp;"|"&amp;$E9&amp;"|"&amp;$H9),"Open source")))</f>
        <v>#NAME?</v>
      </c>
      <c r="K9" s="1" t="e">
        <f ca="1">IF($A9="","",IF(OR(UPPER($H9)&lt;&gt;"TRUE",$I9=""),"Unavailable",HYPERLINK("http://127.0.0.1:5173/__dev/asset-resolved"&amp;"?assetId="&amp;_xludf.ENCODEURL($A9)&amp;"&amp;sig="&amp;_xludf.ENCODEURL($B9&amp;"|"&amp;$C9&amp;"|"&amp;$D9&amp;"|"&amp;$E9&amp;"|"&amp;$H9),"Open resolved")))</f>
        <v>#NAME?</v>
      </c>
      <c r="L9" s="29" t="s">
        <v>419</v>
      </c>
      <c r="M9" s="1" t="str">
        <f>IF($A9="","",HYPERLINK("#'ASSET_PREVIEW'!A9","Open preview"))</f>
        <v>Open preview</v>
      </c>
      <c r="N9" s="30" t="str">
        <f t="shared" ref="N9:N54" si="1">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ht="39.6" x14ac:dyDescent="0.3">
      <c r="A10" s="20" t="s">
        <v>121</v>
      </c>
      <c r="B10" s="20" t="s">
        <v>102</v>
      </c>
      <c r="C10" s="20" t="s">
        <v>101</v>
      </c>
      <c r="D10" s="21" t="s">
        <v>420</v>
      </c>
      <c r="E10" s="21" t="s">
        <v>420</v>
      </c>
      <c r="F10" s="20" t="s">
        <v>421</v>
      </c>
      <c r="G10" s="21" t="s">
        <v>422</v>
      </c>
      <c r="H10" s="26" t="s">
        <v>98</v>
      </c>
      <c r="I10" s="28" t="str">
        <f t="shared" si="0"/>
        <v>/assets/projects/visual-interfaces.mp4</v>
      </c>
      <c r="J10" s="1" t="e">
        <f ca="1">IF($A10="","",IF(UPPER($H10)&lt;&gt;"TRUE","Disabled",HYPERLINK("http://127.0.0.1:5173/__dev/asset-source"&amp;"?assetId="&amp;_xludf.ENCODEURL($A10)&amp;"&amp;sig="&amp;_xludf.ENCODEURL($B10&amp;"|"&amp;$C10&amp;"|"&amp;$D10&amp;"|"&amp;$E10&amp;"|"&amp;$H10),"Open source")))</f>
        <v>#NAME?</v>
      </c>
      <c r="K10" s="1" t="e">
        <f ca="1">IF($A10="","",IF(OR(UPPER($H10)&lt;&gt;"TRUE",$I10=""),"Unavailable",HYPERLINK("http://127.0.0.1:5173/__dev/asset-resolved"&amp;"?assetId="&amp;_xludf.ENCODEURL($A10)&amp;"&amp;sig="&amp;_xludf.ENCODEURL($B10&amp;"|"&amp;$C10&amp;"|"&amp;$D10&amp;"|"&amp;$E10&amp;"|"&amp;$H10),"Open resolved")))</f>
        <v>#NAME?</v>
      </c>
      <c r="L10" s="29" t="s">
        <v>423</v>
      </c>
      <c r="M10" s="1" t="str">
        <f>IF($A10="","",HYPERLINK("#'ASSET_PREVIEW'!A10","Open preview"))</f>
        <v>Open preview</v>
      </c>
      <c r="N10" s="30" t="str">
        <f t="shared" si="1"/>
        <v>READY -&gt; /assets/projects/visual-interfaces.mp4</v>
      </c>
    </row>
    <row r="11" spans="1:14" ht="39.6" x14ac:dyDescent="0.3">
      <c r="A11" s="16" t="s">
        <v>130</v>
      </c>
      <c r="B11" s="16" t="s">
        <v>100</v>
      </c>
      <c r="C11" s="16" t="s">
        <v>101</v>
      </c>
      <c r="D11" s="17" t="s">
        <v>424</v>
      </c>
      <c r="E11" s="17" t="s">
        <v>424</v>
      </c>
      <c r="F11" s="16" t="s">
        <v>425</v>
      </c>
      <c r="G11" s="17" t="s">
        <v>426</v>
      </c>
      <c r="H11" s="24" t="s">
        <v>98</v>
      </c>
      <c r="I11" s="28" t="str">
        <f t="shared" si="0"/>
        <v>/assets/projects/visual-interfaces.png</v>
      </c>
      <c r="J11" s="1" t="e">
        <f ca="1">IF($A11="","",IF(UPPER($H11)&lt;&gt;"TRUE","Disabled",HYPERLINK("http://127.0.0.1:5173/__dev/asset-source"&amp;"?assetId="&amp;_xludf.ENCODEURL($A11)&amp;"&amp;sig="&amp;_xludf.ENCODEURL($B11&amp;"|"&amp;$C11&amp;"|"&amp;$D11&amp;"|"&amp;$E11&amp;"|"&amp;$H11),"Open source")))</f>
        <v>#NAME?</v>
      </c>
      <c r="K11" s="1" t="e">
        <f ca="1">IF($A11="","",IF(OR(UPPER($H11)&lt;&gt;"TRUE",$I11=""),"Unavailable",HYPERLINK("http://127.0.0.1:5173/__dev/asset-resolved"&amp;"?assetId="&amp;_xludf.ENCODEURL($A11)&amp;"&amp;sig="&amp;_xludf.ENCODEURL($B11&amp;"|"&amp;$C11&amp;"|"&amp;$D11&amp;"|"&amp;$E11&amp;"|"&amp;$H11),"Open resolved")))</f>
        <v>#NAME?</v>
      </c>
      <c r="L11" s="29" t="s">
        <v>427</v>
      </c>
      <c r="M11" s="1" t="str">
        <f>IF($A11="","",HYPERLINK("#'ASSET_PREVIEW'!A11","Open preview"))</f>
        <v>Open preview</v>
      </c>
      <c r="N11" s="30" t="str">
        <f t="shared" si="1"/>
        <v>READY -&gt; /assets/projects/visual-interfaces.png</v>
      </c>
    </row>
    <row r="12" spans="1:14" ht="26.4" x14ac:dyDescent="0.3">
      <c r="A12" s="20" t="s">
        <v>138</v>
      </c>
      <c r="B12" s="20" t="s">
        <v>125</v>
      </c>
      <c r="C12" s="20" t="s">
        <v>101</v>
      </c>
      <c r="D12" s="21" t="s">
        <v>428</v>
      </c>
      <c r="E12" s="21" t="s">
        <v>428</v>
      </c>
      <c r="F12" s="20" t="s">
        <v>429</v>
      </c>
      <c r="G12" s="21" t="s">
        <v>430</v>
      </c>
      <c r="H12" s="26" t="s">
        <v>98</v>
      </c>
      <c r="I12" s="28" t="str">
        <f t="shared" si="0"/>
        <v>/assets/projects/unity.webp</v>
      </c>
      <c r="J12" s="1" t="e">
        <f ca="1">IF($A12="","",IF(UPPER($H12)&lt;&gt;"TRUE","Disabled",HYPERLINK("http://127.0.0.1:5173/__dev/asset-source"&amp;"?assetId="&amp;_xludf.ENCODEURL($A12)&amp;"&amp;sig="&amp;_xludf.ENCODEURL($B12&amp;"|"&amp;$C12&amp;"|"&amp;$D12&amp;"|"&amp;$E12&amp;"|"&amp;$H12),"Open source")))</f>
        <v>#NAME?</v>
      </c>
      <c r="K12" s="1" t="e">
        <f ca="1">IF($A12="","",IF(OR(UPPER($H12)&lt;&gt;"TRUE",$I12=""),"Unavailable",HYPERLINK("http://127.0.0.1:5173/__dev/asset-resolved"&amp;"?assetId="&amp;_xludf.ENCODEURL($A12)&amp;"&amp;sig="&amp;_xludf.ENCODEURL($B12&amp;"|"&amp;$C12&amp;"|"&amp;$D12&amp;"|"&amp;$E12&amp;"|"&amp;$H12),"Open resolved")))</f>
        <v>#NAME?</v>
      </c>
      <c r="L12" s="29" t="s">
        <v>431</v>
      </c>
      <c r="M12" s="1" t="str">
        <f>IF($A12="","",HYPERLINK("#'ASSET_PREVIEW'!A12","Open preview"))</f>
        <v>Open preview</v>
      </c>
      <c r="N12" s="30" t="str">
        <f t="shared" si="1"/>
        <v>READY -&gt; /assets/projects/unity.webp</v>
      </c>
    </row>
    <row r="13" spans="1:14" ht="26.4" x14ac:dyDescent="0.3">
      <c r="A13" s="16" t="s">
        <v>142</v>
      </c>
      <c r="B13" s="16" t="s">
        <v>102</v>
      </c>
      <c r="C13" s="16" t="s">
        <v>101</v>
      </c>
      <c r="D13" s="17" t="s">
        <v>432</v>
      </c>
      <c r="E13" s="17" t="s">
        <v>432</v>
      </c>
      <c r="F13" s="16" t="s">
        <v>433</v>
      </c>
      <c r="G13" s="17" t="s">
        <v>434</v>
      </c>
      <c r="H13" s="24" t="s">
        <v>98</v>
      </c>
      <c r="I13" s="28" t="str">
        <f t="shared" si="0"/>
        <v>/assets/projects/zero-touch-ai.mp4</v>
      </c>
      <c r="J13" s="1" t="e">
        <f ca="1">IF($A13="","",IF(UPPER($H13)&lt;&gt;"TRUE","Disabled",HYPERLINK("http://127.0.0.1:5173/__dev/asset-source"&amp;"?assetId="&amp;_xludf.ENCODEURL($A13)&amp;"&amp;sig="&amp;_xludf.ENCODEURL($B13&amp;"|"&amp;$C13&amp;"|"&amp;$D13&amp;"|"&amp;$E13&amp;"|"&amp;$H13),"Open source")))</f>
        <v>#NAME?</v>
      </c>
      <c r="K13" s="1" t="e">
        <f ca="1">IF($A13="","",IF(OR(UPPER($H13)&lt;&gt;"TRUE",$I13=""),"Unavailable",HYPERLINK("http://127.0.0.1:5173/__dev/asset-resolved"&amp;"?assetId="&amp;_xludf.ENCODEURL($A13)&amp;"&amp;sig="&amp;_xludf.ENCODEURL($B13&amp;"|"&amp;$C13&amp;"|"&amp;$D13&amp;"|"&amp;$E13&amp;"|"&amp;$H13),"Open resolved")))</f>
        <v>#NAME?</v>
      </c>
      <c r="L13" s="29" t="s">
        <v>435</v>
      </c>
      <c r="M13" s="1" t="str">
        <f>IF($A13="","",HYPERLINK("#'ASSET_PREVIEW'!A13","Open preview"))</f>
        <v>Open preview</v>
      </c>
      <c r="N13" s="30" t="str">
        <f t="shared" si="1"/>
        <v>READY -&gt; /assets/projects/zero-touch-ai.mp4</v>
      </c>
    </row>
    <row r="14" spans="1:14" ht="26.4" x14ac:dyDescent="0.3">
      <c r="A14" s="20" t="s">
        <v>144</v>
      </c>
      <c r="B14" s="20" t="s">
        <v>100</v>
      </c>
      <c r="C14" s="20" t="s">
        <v>101</v>
      </c>
      <c r="D14" s="21" t="s">
        <v>436</v>
      </c>
      <c r="E14" s="21" t="s">
        <v>436</v>
      </c>
      <c r="F14" s="20" t="s">
        <v>437</v>
      </c>
      <c r="G14" s="21" t="s">
        <v>438</v>
      </c>
      <c r="H14" s="26" t="s">
        <v>98</v>
      </c>
      <c r="I14" s="28" t="str">
        <f t="shared" si="0"/>
        <v>/assets/projects/zero-touch-ai.png</v>
      </c>
      <c r="J14" s="1" t="e">
        <f ca="1">IF($A14="","",IF(UPPER($H14)&lt;&gt;"TRUE","Disabled",HYPERLINK("http://127.0.0.1:5173/__dev/asset-source"&amp;"?assetId="&amp;_xludf.ENCODEURL($A14)&amp;"&amp;sig="&amp;_xludf.ENCODEURL($B14&amp;"|"&amp;$C14&amp;"|"&amp;$D14&amp;"|"&amp;$E14&amp;"|"&amp;$H14),"Open source")))</f>
        <v>#NAME?</v>
      </c>
      <c r="K14" s="1" t="e">
        <f ca="1">IF($A14="","",IF(OR(UPPER($H14)&lt;&gt;"TRUE",$I14=""),"Unavailable",HYPERLINK("http://127.0.0.1:5173/__dev/asset-resolved"&amp;"?assetId="&amp;_xludf.ENCODEURL($A14)&amp;"&amp;sig="&amp;_xludf.ENCODEURL($B14&amp;"|"&amp;$C14&amp;"|"&amp;$D14&amp;"|"&amp;$E14&amp;"|"&amp;$H14),"Open resolved")))</f>
        <v>#NAME?</v>
      </c>
      <c r="L14" s="29" t="s">
        <v>437</v>
      </c>
      <c r="M14" s="1" t="str">
        <f>IF($A14="","",HYPERLINK("#'ASSET_PREVIEW'!A14","Open preview"))</f>
        <v>Open preview</v>
      </c>
      <c r="N14" s="30" t="str">
        <f t="shared" si="1"/>
        <v>READY -&gt; /assets/projects/zero-touch-ai.png</v>
      </c>
    </row>
    <row r="15" spans="1:14" ht="39.6" x14ac:dyDescent="0.3">
      <c r="A15" s="16" t="s">
        <v>145</v>
      </c>
      <c r="B15" s="16" t="s">
        <v>125</v>
      </c>
      <c r="C15" s="16" t="s">
        <v>101</v>
      </c>
      <c r="D15" s="17" t="s">
        <v>439</v>
      </c>
      <c r="E15" s="17" t="s">
        <v>439</v>
      </c>
      <c r="F15" s="16" t="s">
        <v>440</v>
      </c>
      <c r="G15" s="17" t="s">
        <v>441</v>
      </c>
      <c r="H15" s="24" t="s">
        <v>98</v>
      </c>
      <c r="I15" s="28" t="str">
        <f t="shared" si="0"/>
        <v>/assets/projects/outlook-icon.webp</v>
      </c>
      <c r="J15" s="1" t="e">
        <f ca="1">IF($A15="","",IF(UPPER($H15)&lt;&gt;"TRUE","Disabled",HYPERLINK("http://127.0.0.1:5173/__dev/asset-source"&amp;"?assetId="&amp;_xludf.ENCODEURL($A15)&amp;"&amp;sig="&amp;_xludf.ENCODEURL($B15&amp;"|"&amp;$C15&amp;"|"&amp;$D15&amp;"|"&amp;$E15&amp;"|"&amp;$H15),"Open source")))</f>
        <v>#NAME?</v>
      </c>
      <c r="K15" s="1" t="e">
        <f ca="1">IF($A15="","",IF(OR(UPPER($H15)&lt;&gt;"TRUE",$I15=""),"Unavailable",HYPERLINK("http://127.0.0.1:5173/__dev/asset-resolved"&amp;"?assetId="&amp;_xludf.ENCODEURL($A15)&amp;"&amp;sig="&amp;_xludf.ENCODEURL($B15&amp;"|"&amp;$C15&amp;"|"&amp;$D15&amp;"|"&amp;$E15&amp;"|"&amp;$H15),"Open resolved")))</f>
        <v>#NAME?</v>
      </c>
      <c r="L15" s="29" t="s">
        <v>440</v>
      </c>
      <c r="M15" s="1" t="str">
        <f>IF($A15="","",HYPERLINK("#'ASSET_PREVIEW'!A15","Open preview"))</f>
        <v>Open preview</v>
      </c>
      <c r="N15" s="30" t="str">
        <f t="shared" si="1"/>
        <v>READY -&gt; /assets/projects/outlook-icon.webp</v>
      </c>
    </row>
    <row r="16" spans="1:14" ht="39.6" x14ac:dyDescent="0.3">
      <c r="A16" s="20" t="s">
        <v>146</v>
      </c>
      <c r="B16" s="20" t="s">
        <v>102</v>
      </c>
      <c r="C16" s="20" t="s">
        <v>101</v>
      </c>
      <c r="D16" s="21" t="s">
        <v>442</v>
      </c>
      <c r="E16" s="21" t="s">
        <v>442</v>
      </c>
      <c r="F16" s="20" t="s">
        <v>443</v>
      </c>
      <c r="G16" s="21" t="s">
        <v>444</v>
      </c>
      <c r="H16" s="26" t="s">
        <v>98</v>
      </c>
      <c r="I16" s="28" t="str">
        <f t="shared" si="0"/>
        <v>/assets/projects/padel-booking.mp4</v>
      </c>
      <c r="J16" s="1" t="e">
        <f ca="1">IF($A16="","",IF(UPPER($H16)&lt;&gt;"TRUE","Disabled",HYPERLINK("http://127.0.0.1:5173/__dev/asset-source"&amp;"?assetId="&amp;_xludf.ENCODEURL($A16)&amp;"&amp;sig="&amp;_xludf.ENCODEURL($B16&amp;"|"&amp;$C16&amp;"|"&amp;$D16&amp;"|"&amp;$E16&amp;"|"&amp;$H16),"Open source")))</f>
        <v>#NAME?</v>
      </c>
      <c r="K16" s="1" t="e">
        <f ca="1">IF($A16="","",IF(OR(UPPER($H16)&lt;&gt;"TRUE",$I16=""),"Unavailable",HYPERLINK("http://127.0.0.1:5173/__dev/asset-resolved"&amp;"?assetId="&amp;_xludf.ENCODEURL($A16)&amp;"&amp;sig="&amp;_xludf.ENCODEURL($B16&amp;"|"&amp;$C16&amp;"|"&amp;$D16&amp;"|"&amp;$E16&amp;"|"&amp;$H16),"Open resolved")))</f>
        <v>#NAME?</v>
      </c>
      <c r="L16" s="29" t="s">
        <v>445</v>
      </c>
      <c r="M16" s="1" t="str">
        <f>IF($A16="","",HYPERLINK("#'ASSET_PREVIEW'!A16","Open preview"))</f>
        <v>Open preview</v>
      </c>
      <c r="N16" s="30" t="str">
        <f t="shared" si="1"/>
        <v>READY -&gt; /assets/projects/padel-booking.mp4</v>
      </c>
    </row>
    <row r="17" spans="1:14" ht="39.6" x14ac:dyDescent="0.3">
      <c r="A17" s="16" t="s">
        <v>147</v>
      </c>
      <c r="B17" s="16" t="s">
        <v>100</v>
      </c>
      <c r="C17" s="16" t="s">
        <v>101</v>
      </c>
      <c r="D17" s="17" t="s">
        <v>446</v>
      </c>
      <c r="E17" s="17" t="s">
        <v>446</v>
      </c>
      <c r="F17" s="16" t="s">
        <v>447</v>
      </c>
      <c r="G17" s="17" t="s">
        <v>448</v>
      </c>
      <c r="H17" s="24" t="s">
        <v>98</v>
      </c>
      <c r="I17" s="28" t="str">
        <f t="shared" si="0"/>
        <v>/assets/projects/padel-booking.png</v>
      </c>
      <c r="J17" s="1" t="e">
        <f ca="1">IF($A17="","",IF(UPPER($H17)&lt;&gt;"TRUE","Disabled",HYPERLINK("http://127.0.0.1:5173/__dev/asset-source"&amp;"?assetId="&amp;_xludf.ENCODEURL($A17)&amp;"&amp;sig="&amp;_xludf.ENCODEURL($B17&amp;"|"&amp;$C17&amp;"|"&amp;$D17&amp;"|"&amp;$E17&amp;"|"&amp;$H17),"Open source")))</f>
        <v>#NAME?</v>
      </c>
      <c r="K17" s="1" t="e">
        <f ca="1">IF($A17="","",IF(OR(UPPER($H17)&lt;&gt;"TRUE",$I17=""),"Unavailable",HYPERLINK("http://127.0.0.1:5173/__dev/asset-resolved"&amp;"?assetId="&amp;_xludf.ENCODEURL($A17)&amp;"&amp;sig="&amp;_xludf.ENCODEURL($B17&amp;"|"&amp;$C17&amp;"|"&amp;$D17&amp;"|"&amp;$E17&amp;"|"&amp;$H17),"Open resolved")))</f>
        <v>#NAME?</v>
      </c>
      <c r="L17" s="29" t="s">
        <v>449</v>
      </c>
      <c r="M17" s="1" t="str">
        <f>IF($A17="","",HYPERLINK("#'ASSET_PREVIEW'!A17","Open preview"))</f>
        <v>Open preview</v>
      </c>
      <c r="N17" s="30" t="str">
        <f t="shared" si="1"/>
        <v>READY -&gt; /assets/projects/padel-booking.png</v>
      </c>
    </row>
    <row r="18" spans="1:14" ht="39.6" x14ac:dyDescent="0.3">
      <c r="A18" s="20" t="s">
        <v>148</v>
      </c>
      <c r="B18" s="20" t="s">
        <v>125</v>
      </c>
      <c r="C18" s="20" t="s">
        <v>101</v>
      </c>
      <c r="D18" s="21" t="s">
        <v>450</v>
      </c>
      <c r="E18" s="21" t="s">
        <v>450</v>
      </c>
      <c r="F18" s="20" t="s">
        <v>451</v>
      </c>
      <c r="G18" s="21" t="s">
        <v>452</v>
      </c>
      <c r="H18" s="26" t="s">
        <v>98</v>
      </c>
      <c r="I18" s="28" t="str">
        <f t="shared" si="0"/>
        <v>/assets/projects/padel-booking-logo.png</v>
      </c>
      <c r="J18" s="1" t="e">
        <f ca="1">IF($A18="","",IF(UPPER($H18)&lt;&gt;"TRUE","Disabled",HYPERLINK("http://127.0.0.1:5173/__dev/asset-source"&amp;"?assetId="&amp;_xludf.ENCODEURL($A18)&amp;"&amp;sig="&amp;_xludf.ENCODEURL($B18&amp;"|"&amp;$C18&amp;"|"&amp;$D18&amp;"|"&amp;$E18&amp;"|"&amp;$H18),"Open source")))</f>
        <v>#NAME?</v>
      </c>
      <c r="K18" s="1" t="e">
        <f ca="1">IF($A18="","",IF(OR(UPPER($H18)&lt;&gt;"TRUE",$I18=""),"Unavailable",HYPERLINK("http://127.0.0.1:5173/__dev/asset-resolved"&amp;"?assetId="&amp;_xludf.ENCODEURL($A18)&amp;"&amp;sig="&amp;_xludf.ENCODEURL($B18&amp;"|"&amp;$C18&amp;"|"&amp;$D18&amp;"|"&amp;$E18&amp;"|"&amp;$H18),"Open resolved")))</f>
        <v>#NAME?</v>
      </c>
      <c r="L18" s="29" t="s">
        <v>453</v>
      </c>
      <c r="M18" s="1" t="str">
        <f>IF($A18="","",HYPERLINK("#'ASSET_PREVIEW'!A18","Open preview"))</f>
        <v>Open preview</v>
      </c>
      <c r="N18" s="30" t="str">
        <f t="shared" si="1"/>
        <v>READY -&gt; /assets/projects/padel-booking-logo.png</v>
      </c>
    </row>
    <row r="19" spans="1:14" ht="39.6" x14ac:dyDescent="0.3">
      <c r="A19" s="16" t="s">
        <v>149</v>
      </c>
      <c r="B19" s="16" t="s">
        <v>102</v>
      </c>
      <c r="C19" s="16" t="s">
        <v>101</v>
      </c>
      <c r="D19" s="17" t="s">
        <v>454</v>
      </c>
      <c r="E19" s="17" t="s">
        <v>454</v>
      </c>
      <c r="F19" s="16" t="s">
        <v>455</v>
      </c>
      <c r="G19" s="17" t="s">
        <v>456</v>
      </c>
      <c r="H19" s="24" t="s">
        <v>98</v>
      </c>
      <c r="I19" s="28" t="str">
        <f t="shared" si="0"/>
        <v>/assets/projects/twitch-live.mp4</v>
      </c>
      <c r="J19" s="1" t="e">
        <f ca="1">IF($A19="","",IF(UPPER($H19)&lt;&gt;"TRUE","Disabled",HYPERLINK("http://127.0.0.1:5173/__dev/asset-source"&amp;"?assetId="&amp;_xludf.ENCODEURL($A19)&amp;"&amp;sig="&amp;_xludf.ENCODEURL($B19&amp;"|"&amp;$C19&amp;"|"&amp;$D19&amp;"|"&amp;$E19&amp;"|"&amp;$H19),"Open source")))</f>
        <v>#NAME?</v>
      </c>
      <c r="K19" s="1" t="e">
        <f ca="1">IF($A19="","",IF(OR(UPPER($H19)&lt;&gt;"TRUE",$I19=""),"Unavailable",HYPERLINK("http://127.0.0.1:5173/__dev/asset-resolved"&amp;"?assetId="&amp;_xludf.ENCODEURL($A19)&amp;"&amp;sig="&amp;_xludf.ENCODEURL($B19&amp;"|"&amp;$C19&amp;"|"&amp;$D19&amp;"|"&amp;$E19&amp;"|"&amp;$H19),"Open resolved")))</f>
        <v>#NAME?</v>
      </c>
      <c r="L19" s="29" t="s">
        <v>457</v>
      </c>
      <c r="M19" s="1" t="str">
        <f>IF($A19="","",HYPERLINK("#'ASSET_PREVIEW'!A19","Open preview"))</f>
        <v>Open preview</v>
      </c>
      <c r="N19" s="30" t="str">
        <f t="shared" si="1"/>
        <v>READY -&gt; /assets/projects/twitch-live.mp4</v>
      </c>
    </row>
    <row r="20" spans="1:14" ht="39.6" x14ac:dyDescent="0.3">
      <c r="A20" s="20" t="s">
        <v>150</v>
      </c>
      <c r="B20" s="20" t="s">
        <v>100</v>
      </c>
      <c r="C20" s="20" t="s">
        <v>101</v>
      </c>
      <c r="D20" s="21" t="s">
        <v>458</v>
      </c>
      <c r="E20" s="21" t="s">
        <v>458</v>
      </c>
      <c r="F20" s="20" t="s">
        <v>459</v>
      </c>
      <c r="G20" s="21" t="s">
        <v>460</v>
      </c>
      <c r="H20" s="26" t="s">
        <v>98</v>
      </c>
      <c r="I20" s="28" t="str">
        <f t="shared" si="0"/>
        <v>/assets/projects/twitch-live.png</v>
      </c>
      <c r="J20" s="1" t="e">
        <f ca="1">IF($A20="","",IF(UPPER($H20)&lt;&gt;"TRUE","Disabled",HYPERLINK("http://127.0.0.1:5173/__dev/asset-source"&amp;"?assetId="&amp;_xludf.ENCODEURL($A20)&amp;"&amp;sig="&amp;_xludf.ENCODEURL($B20&amp;"|"&amp;$C20&amp;"|"&amp;$D20&amp;"|"&amp;$E20&amp;"|"&amp;$H20),"Open source")))</f>
        <v>#NAME?</v>
      </c>
      <c r="K20" s="1" t="e">
        <f ca="1">IF($A20="","",IF(OR(UPPER($H20)&lt;&gt;"TRUE",$I20=""),"Unavailable",HYPERLINK("http://127.0.0.1:5173/__dev/asset-resolved"&amp;"?assetId="&amp;_xludf.ENCODEURL($A20)&amp;"&amp;sig="&amp;_xludf.ENCODEURL($B20&amp;"|"&amp;$C20&amp;"|"&amp;$D20&amp;"|"&amp;$E20&amp;"|"&amp;$H20),"Open resolved")))</f>
        <v>#NAME?</v>
      </c>
      <c r="L20" s="29" t="s">
        <v>459</v>
      </c>
      <c r="M20" s="1" t="str">
        <f>IF($A20="","",HYPERLINK("#'ASSET_PREVIEW'!A20","Open preview"))</f>
        <v>Open preview</v>
      </c>
      <c r="N20" s="30" t="str">
        <f t="shared" si="1"/>
        <v>READY -&gt; /assets/projects/twitch-live.png</v>
      </c>
    </row>
    <row r="21" spans="1:14" ht="39.6" x14ac:dyDescent="0.3">
      <c r="A21" s="16" t="s">
        <v>151</v>
      </c>
      <c r="B21" s="16" t="s">
        <v>125</v>
      </c>
      <c r="C21" s="16" t="s">
        <v>101</v>
      </c>
      <c r="D21" s="17" t="s">
        <v>461</v>
      </c>
      <c r="E21" s="17" t="s">
        <v>461</v>
      </c>
      <c r="F21" s="16" t="s">
        <v>462</v>
      </c>
      <c r="G21" s="17" t="s">
        <v>463</v>
      </c>
      <c r="H21" s="24" t="s">
        <v>98</v>
      </c>
      <c r="I21" s="28" t="str">
        <f t="shared" si="0"/>
        <v>/assets/projects/twitch-icon.webp</v>
      </c>
      <c r="J21" s="1" t="e">
        <f ca="1">IF($A21="","",IF(UPPER($H21)&lt;&gt;"TRUE","Disabled",HYPERLINK("http://127.0.0.1:5173/__dev/asset-source"&amp;"?assetId="&amp;_xludf.ENCODEURL($A21)&amp;"&amp;sig="&amp;_xludf.ENCODEURL($B21&amp;"|"&amp;$C21&amp;"|"&amp;$D21&amp;"|"&amp;$E21&amp;"|"&amp;$H21),"Open source")))</f>
        <v>#NAME?</v>
      </c>
      <c r="K21" s="1" t="e">
        <f ca="1">IF($A21="","",IF(OR(UPPER($H21)&lt;&gt;"TRUE",$I21=""),"Unavailable",HYPERLINK("http://127.0.0.1:5173/__dev/asset-resolved"&amp;"?assetId="&amp;_xludf.ENCODEURL($A21)&amp;"&amp;sig="&amp;_xludf.ENCODEURL($B21&amp;"|"&amp;$C21&amp;"|"&amp;$D21&amp;"|"&amp;$E21&amp;"|"&amp;$H21),"Open resolved")))</f>
        <v>#NAME?</v>
      </c>
      <c r="L21" s="29" t="s">
        <v>462</v>
      </c>
      <c r="M21" s="1" t="str">
        <f>IF($A21="","",HYPERLINK("#'ASSET_PREVIEW'!A21","Open preview"))</f>
        <v>Open preview</v>
      </c>
      <c r="N21" s="30" t="str">
        <f t="shared" si="1"/>
        <v>READY -&gt; /assets/projects/twitch-icon.webp</v>
      </c>
    </row>
    <row r="22" spans="1:14" ht="26.4" x14ac:dyDescent="0.3">
      <c r="A22" s="20" t="s">
        <v>152</v>
      </c>
      <c r="B22" s="20" t="s">
        <v>102</v>
      </c>
      <c r="C22" s="20" t="s">
        <v>101</v>
      </c>
      <c r="D22" s="21" t="s">
        <v>464</v>
      </c>
      <c r="E22" s="21" t="s">
        <v>464</v>
      </c>
      <c r="F22" s="20" t="s">
        <v>465</v>
      </c>
      <c r="G22" s="21" t="s">
        <v>466</v>
      </c>
      <c r="H22" s="26" t="s">
        <v>98</v>
      </c>
      <c r="I22" s="28" t="str">
        <f t="shared" si="0"/>
        <v>/assets/projects/usb-extraction.mp4</v>
      </c>
      <c r="J22" s="1" t="e">
        <f ca="1">IF($A22="","",IF(UPPER($H22)&lt;&gt;"TRUE","Disabled",HYPERLINK("http://127.0.0.1:5173/__dev/asset-source"&amp;"?assetId="&amp;_xludf.ENCODEURL($A22)&amp;"&amp;sig="&amp;_xludf.ENCODEURL($B22&amp;"|"&amp;$C22&amp;"|"&amp;$D22&amp;"|"&amp;$E22&amp;"|"&amp;$H22),"Open source")))</f>
        <v>#NAME?</v>
      </c>
      <c r="K22" s="1" t="e">
        <f ca="1">IF($A22="","",IF(OR(UPPER($H22)&lt;&gt;"TRUE",$I22=""),"Unavailable",HYPERLINK("http://127.0.0.1:5173/__dev/asset-resolved"&amp;"?assetId="&amp;_xludf.ENCODEURL($A22)&amp;"&amp;sig="&amp;_xludf.ENCODEURL($B22&amp;"|"&amp;$C22&amp;"|"&amp;$D22&amp;"|"&amp;$E22&amp;"|"&amp;$H22),"Open resolved")))</f>
        <v>#NAME?</v>
      </c>
      <c r="L22" s="29" t="s">
        <v>467</v>
      </c>
      <c r="M22" s="1" t="str">
        <f>IF($A22="","",HYPERLINK("#'ASSET_PREVIEW'!A22","Open preview"))</f>
        <v>Open preview</v>
      </c>
      <c r="N22" s="30" t="str">
        <f t="shared" si="1"/>
        <v>READY -&gt; /assets/projects/usb-extraction.mp4</v>
      </c>
    </row>
    <row r="23" spans="1:14" ht="26.4" x14ac:dyDescent="0.3">
      <c r="A23" s="16" t="s">
        <v>153</v>
      </c>
      <c r="B23" s="16" t="s">
        <v>100</v>
      </c>
      <c r="C23" s="16" t="s">
        <v>101</v>
      </c>
      <c r="D23" s="17" t="s">
        <v>468</v>
      </c>
      <c r="E23" s="17" t="s">
        <v>468</v>
      </c>
      <c r="F23" s="16" t="s">
        <v>469</v>
      </c>
      <c r="G23" s="17" t="s">
        <v>470</v>
      </c>
      <c r="H23" s="24" t="s">
        <v>98</v>
      </c>
      <c r="I23" s="28" t="str">
        <f t="shared" si="0"/>
        <v>/assets/projects/usb-extraction.png</v>
      </c>
      <c r="J23" s="1" t="e">
        <f ca="1">IF($A23="","",IF(UPPER($H23)&lt;&gt;"TRUE","Disabled",HYPERLINK("http://127.0.0.1:5173/__dev/asset-source"&amp;"?assetId="&amp;_xludf.ENCODEURL($A23)&amp;"&amp;sig="&amp;_xludf.ENCODEURL($B23&amp;"|"&amp;$C23&amp;"|"&amp;$D23&amp;"|"&amp;$E23&amp;"|"&amp;$H23),"Open source")))</f>
        <v>#NAME?</v>
      </c>
      <c r="K23" s="1" t="e">
        <f ca="1">IF($A23="","",IF(OR(UPPER($H23)&lt;&gt;"TRUE",$I23=""),"Unavailable",HYPERLINK("http://127.0.0.1:5173/__dev/asset-resolved"&amp;"?assetId="&amp;_xludf.ENCODEURL($A23)&amp;"&amp;sig="&amp;_xludf.ENCODEURL($B23&amp;"|"&amp;$C23&amp;"|"&amp;$D23&amp;"|"&amp;$E23&amp;"|"&amp;$H23),"Open resolved")))</f>
        <v>#NAME?</v>
      </c>
      <c r="L23" s="29" t="s">
        <v>471</v>
      </c>
      <c r="M23" s="1" t="str">
        <f>IF($A23="","",HYPERLINK("#'ASSET_PREVIEW'!A23","Open preview"))</f>
        <v>Open preview</v>
      </c>
      <c r="N23" s="30" t="str">
        <f t="shared" si="1"/>
        <v>READY -&gt; /assets/projects/usb-extraction.png</v>
      </c>
    </row>
    <row r="24" spans="1:14" ht="26.4" x14ac:dyDescent="0.3">
      <c r="A24" s="20" t="s">
        <v>154</v>
      </c>
      <c r="B24" s="20" t="s">
        <v>125</v>
      </c>
      <c r="C24" s="20" t="s">
        <v>101</v>
      </c>
      <c r="D24" s="21" t="s">
        <v>472</v>
      </c>
      <c r="E24" s="21" t="s">
        <v>472</v>
      </c>
      <c r="F24" s="20" t="s">
        <v>473</v>
      </c>
      <c r="G24" s="21" t="s">
        <v>474</v>
      </c>
      <c r="H24" s="26" t="s">
        <v>98</v>
      </c>
      <c r="I24" s="28" t="str">
        <f t="shared" si="0"/>
        <v>/assets/projects/terminal.ico</v>
      </c>
      <c r="J24" s="1" t="e">
        <f ca="1">IF($A24="","",IF(UPPER($H24)&lt;&gt;"TRUE","Disabled",HYPERLINK("http://127.0.0.1:5173/__dev/asset-source"&amp;"?assetId="&amp;_xludf.ENCODEURL($A24)&amp;"&amp;sig="&amp;_xludf.ENCODEURL($B24&amp;"|"&amp;$C24&amp;"|"&amp;$D24&amp;"|"&amp;$E24&amp;"|"&amp;$H24),"Open source")))</f>
        <v>#NAME?</v>
      </c>
      <c r="K24" s="1" t="e">
        <f ca="1">IF($A24="","",IF(OR(UPPER($H24)&lt;&gt;"TRUE",$I24=""),"Unavailable",HYPERLINK("http://127.0.0.1:5173/__dev/asset-resolved"&amp;"?assetId="&amp;_xludf.ENCODEURL($A24)&amp;"&amp;sig="&amp;_xludf.ENCODEURL($B24&amp;"|"&amp;$C24&amp;"|"&amp;$D24&amp;"|"&amp;$E24&amp;"|"&amp;$H24),"Open resolved")))</f>
        <v>#NAME?</v>
      </c>
      <c r="L24" s="29" t="s">
        <v>475</v>
      </c>
      <c r="M24" s="1" t="str">
        <f>IF($A24="","",HYPERLINK("#'ASSET_PREVIEW'!A24","Open preview"))</f>
        <v>Open preview</v>
      </c>
      <c r="N24" s="30" t="str">
        <f t="shared" si="1"/>
        <v>READY -&gt; /assets/projects/terminal.ico</v>
      </c>
    </row>
    <row r="25" spans="1:14" ht="39.6" x14ac:dyDescent="0.3">
      <c r="A25" s="16" t="s">
        <v>155</v>
      </c>
      <c r="B25" s="16" t="s">
        <v>100</v>
      </c>
      <c r="C25" s="16" t="s">
        <v>101</v>
      </c>
      <c r="D25" s="17" t="s">
        <v>476</v>
      </c>
      <c r="E25" s="17" t="s">
        <v>476</v>
      </c>
      <c r="F25" s="16" t="s">
        <v>477</v>
      </c>
      <c r="G25" s="17" t="s">
        <v>478</v>
      </c>
      <c r="H25" s="24" t="s">
        <v>98</v>
      </c>
      <c r="I25" s="28" t="str">
        <f t="shared" si="0"/>
        <v>/assets/testimonials/client3.png</v>
      </c>
      <c r="J25" s="1" t="e">
        <f ca="1">IF($A25="","",IF(UPPER($H25)&lt;&gt;"TRUE","Disabled",HYPERLINK("http://127.0.0.1:5173/__dev/asset-source"&amp;"?assetId="&amp;_xludf.ENCODEURL($A25)&amp;"&amp;sig="&amp;_xludf.ENCODEURL($B25&amp;"|"&amp;$C25&amp;"|"&amp;$D25&amp;"|"&amp;$E25&amp;"|"&amp;$H25),"Open source")))</f>
        <v>#NAME?</v>
      </c>
      <c r="K25" s="1" t="e">
        <f ca="1">IF($A25="","",IF(OR(UPPER($H25)&lt;&gt;"TRUE",$I25=""),"Unavailable",HYPERLINK("http://127.0.0.1:5173/__dev/asset-resolved"&amp;"?assetId="&amp;_xludf.ENCODEURL($A25)&amp;"&amp;sig="&amp;_xludf.ENCODEURL($B25&amp;"|"&amp;$C25&amp;"|"&amp;$D25&amp;"|"&amp;$E25&amp;"|"&amp;$H25),"Open resolved")))</f>
        <v>#NAME?</v>
      </c>
      <c r="L25" s="29" t="s">
        <v>479</v>
      </c>
      <c r="M25" s="1" t="str">
        <f>IF($A25="","",HYPERLINK("#'ASSET_PREVIEW'!A25","Open preview"))</f>
        <v>Open preview</v>
      </c>
      <c r="N25" s="30" t="str">
        <f t="shared" si="1"/>
        <v>READY -&gt; /assets/testimonials/client3.png</v>
      </c>
    </row>
    <row r="26" spans="1:14" ht="39.6" x14ac:dyDescent="0.3">
      <c r="A26" s="20" t="s">
        <v>156</v>
      </c>
      <c r="B26" s="20" t="s">
        <v>100</v>
      </c>
      <c r="C26" s="20" t="s">
        <v>101</v>
      </c>
      <c r="D26" s="21" t="s">
        <v>480</v>
      </c>
      <c r="E26" s="21" t="s">
        <v>480</v>
      </c>
      <c r="F26" s="20" t="s">
        <v>477</v>
      </c>
      <c r="G26" s="21" t="s">
        <v>478</v>
      </c>
      <c r="H26" s="26" t="s">
        <v>98</v>
      </c>
      <c r="I26" s="28" t="str">
        <f t="shared" si="0"/>
        <v>/assets/testimonials/client2.png</v>
      </c>
      <c r="J26" s="1" t="e">
        <f ca="1">IF($A26="","",IF(UPPER($H26)&lt;&gt;"TRUE","Disabled",HYPERLINK("http://127.0.0.1:5173/__dev/asset-source"&amp;"?assetId="&amp;_xludf.ENCODEURL($A26)&amp;"&amp;sig="&amp;_xludf.ENCODEURL($B26&amp;"|"&amp;$C26&amp;"|"&amp;$D26&amp;"|"&amp;$E26&amp;"|"&amp;$H26),"Open source")))</f>
        <v>#NAME?</v>
      </c>
      <c r="K26" s="1" t="e">
        <f ca="1">IF($A26="","",IF(OR(UPPER($H26)&lt;&gt;"TRUE",$I26=""),"Unavailable",HYPERLINK("http://127.0.0.1:5173/__dev/asset-resolved"&amp;"?assetId="&amp;_xludf.ENCODEURL($A26)&amp;"&amp;sig="&amp;_xludf.ENCODEURL($B26&amp;"|"&amp;$C26&amp;"|"&amp;$D26&amp;"|"&amp;$E26&amp;"|"&amp;$H26),"Open resolved")))</f>
        <v>#NAME?</v>
      </c>
      <c r="L26" s="29" t="s">
        <v>481</v>
      </c>
      <c r="M26" s="1" t="str">
        <f>IF($A26="","",HYPERLINK("#'ASSET_PREVIEW'!A26","Open preview"))</f>
        <v>Open preview</v>
      </c>
      <c r="N26" s="30" t="str">
        <f t="shared" si="1"/>
        <v>READY -&gt; /assets/testimonials/client2.png</v>
      </c>
    </row>
    <row r="27" spans="1:14" ht="39.6" x14ac:dyDescent="0.3">
      <c r="A27" s="16" t="s">
        <v>157</v>
      </c>
      <c r="B27" s="16" t="s">
        <v>100</v>
      </c>
      <c r="C27" s="16" t="s">
        <v>101</v>
      </c>
      <c r="D27" s="17" t="s">
        <v>482</v>
      </c>
      <c r="E27" s="17" t="s">
        <v>482</v>
      </c>
      <c r="F27" s="16" t="s">
        <v>477</v>
      </c>
      <c r="G27" s="17" t="s">
        <v>478</v>
      </c>
      <c r="H27" s="24" t="s">
        <v>98</v>
      </c>
      <c r="I27" s="28" t="str">
        <f t="shared" si="0"/>
        <v>/assets/testimonials/client1.png</v>
      </c>
      <c r="J27" s="1" t="e">
        <f ca="1">IF($A27="","",IF(UPPER($H27)&lt;&gt;"TRUE","Disabled",HYPERLINK("http://127.0.0.1:5173/__dev/asset-source"&amp;"?assetId="&amp;_xludf.ENCODEURL($A27)&amp;"&amp;sig="&amp;_xludf.ENCODEURL($B27&amp;"|"&amp;$C27&amp;"|"&amp;$D27&amp;"|"&amp;$E27&amp;"|"&amp;$H27),"Open source")))</f>
        <v>#NAME?</v>
      </c>
      <c r="K27" s="1" t="e">
        <f ca="1">IF($A27="","",IF(OR(UPPER($H27)&lt;&gt;"TRUE",$I27=""),"Unavailable",HYPERLINK("http://127.0.0.1:5173/__dev/asset-resolved"&amp;"?assetId="&amp;_xludf.ENCODEURL($A27)&amp;"&amp;sig="&amp;_xludf.ENCODEURL($B27&amp;"|"&amp;$C27&amp;"|"&amp;$D27&amp;"|"&amp;$E27&amp;"|"&amp;$H27),"Open resolved")))</f>
        <v>#NAME?</v>
      </c>
      <c r="L27" s="29" t="s">
        <v>483</v>
      </c>
      <c r="M27" s="1" t="str">
        <f>IF($A27="","",HYPERLINK("#'ASSET_PREVIEW'!A27","Open preview"))</f>
        <v>Open preview</v>
      </c>
      <c r="N27" s="30" t="str">
        <f t="shared" si="1"/>
        <v>READY -&gt; /assets/testimonials/client1.png</v>
      </c>
    </row>
    <row r="28" spans="1:14" ht="39.6" x14ac:dyDescent="0.3">
      <c r="A28" s="20" t="s">
        <v>158</v>
      </c>
      <c r="B28" s="20" t="s">
        <v>100</v>
      </c>
      <c r="C28" s="20" t="s">
        <v>101</v>
      </c>
      <c r="D28" s="21" t="s">
        <v>484</v>
      </c>
      <c r="E28" s="21" t="s">
        <v>484</v>
      </c>
      <c r="F28" s="20" t="s">
        <v>477</v>
      </c>
      <c r="G28" s="21" t="s">
        <v>478</v>
      </c>
      <c r="H28" s="26" t="s">
        <v>98</v>
      </c>
      <c r="I28" s="28" t="str">
        <f t="shared" si="0"/>
        <v>/assets/testimonials/client4.png</v>
      </c>
      <c r="J28" s="1" t="e">
        <f ca="1">IF($A28="","",IF(UPPER($H28)&lt;&gt;"TRUE","Disabled",HYPERLINK("http://127.0.0.1:5173/__dev/asset-source"&amp;"?assetId="&amp;_xludf.ENCODEURL($A28)&amp;"&amp;sig="&amp;_xludf.ENCODEURL($B28&amp;"|"&amp;$C28&amp;"|"&amp;$D28&amp;"|"&amp;$E28&amp;"|"&amp;$H28),"Open source")))</f>
        <v>#NAME?</v>
      </c>
      <c r="K28" s="1" t="e">
        <f ca="1">IF($A28="","",IF(OR(UPPER($H28)&lt;&gt;"TRUE",$I28=""),"Unavailable",HYPERLINK("http://127.0.0.1:5173/__dev/asset-resolved"&amp;"?assetId="&amp;_xludf.ENCODEURL($A28)&amp;"&amp;sig="&amp;_xludf.ENCODEURL($B28&amp;"|"&amp;$C28&amp;"|"&amp;$D28&amp;"|"&amp;$E28&amp;"|"&amp;$H28),"Open resolved")))</f>
        <v>#NAME?</v>
      </c>
      <c r="L28" s="29" t="s">
        <v>485</v>
      </c>
      <c r="M28" s="1" t="str">
        <f>IF($A28="","",HYPERLINK("#'ASSET_PREVIEW'!A28","Open preview"))</f>
        <v>Open preview</v>
      </c>
      <c r="N28" s="30" t="str">
        <f t="shared" si="1"/>
        <v>READY -&gt; /assets/testimonials/client4.png</v>
      </c>
    </row>
    <row r="29" spans="1:14" ht="39.6" x14ac:dyDescent="0.3">
      <c r="A29" s="16" t="s">
        <v>159</v>
      </c>
      <c r="B29" s="16" t="s">
        <v>100</v>
      </c>
      <c r="C29" s="16" t="s">
        <v>101</v>
      </c>
      <c r="D29" s="17" t="s">
        <v>486</v>
      </c>
      <c r="E29" s="17" t="s">
        <v>486</v>
      </c>
      <c r="F29" s="16" t="s">
        <v>477</v>
      </c>
      <c r="G29" s="17" t="s">
        <v>487</v>
      </c>
      <c r="H29" s="24" t="s">
        <v>98</v>
      </c>
      <c r="I29" s="28" t="str">
        <f t="shared" si="0"/>
        <v>/assets/testimonials/client5.jpg</v>
      </c>
      <c r="J29" s="1" t="e">
        <f ca="1">IF($A29="","",IF(UPPER($H29)&lt;&gt;"TRUE","Disabled",HYPERLINK("http://127.0.0.1:5173/__dev/asset-source"&amp;"?assetId="&amp;_xludf.ENCODEURL($A29)&amp;"&amp;sig="&amp;_xludf.ENCODEURL($B29&amp;"|"&amp;$C29&amp;"|"&amp;$D29&amp;"|"&amp;$E29&amp;"|"&amp;$H29),"Open source")))</f>
        <v>#NAME?</v>
      </c>
      <c r="K29" s="1" t="e">
        <f ca="1">IF($A29="","",IF(OR(UPPER($H29)&lt;&gt;"TRUE",$I29=""),"Unavailable",HYPERLINK("http://127.0.0.1:5173/__dev/asset-resolved"&amp;"?assetId="&amp;_xludf.ENCODEURL($A29)&amp;"&amp;sig="&amp;_xludf.ENCODEURL($B29&amp;"|"&amp;$C29&amp;"|"&amp;$D29&amp;"|"&amp;$E29&amp;"|"&amp;$H29),"Open resolved")))</f>
        <v>#NAME?</v>
      </c>
      <c r="L29" s="29" t="s">
        <v>488</v>
      </c>
      <c r="M29" s="1" t="str">
        <f>IF($A29="","",HYPERLINK("#'ASSET_PREVIEW'!A29","Open preview"))</f>
        <v>Open preview</v>
      </c>
      <c r="N29" s="30" t="str">
        <f t="shared" si="1"/>
        <v>READY -&gt; /assets/testimonials/client5.jpg</v>
      </c>
    </row>
    <row r="30" spans="1:14" ht="39.6" x14ac:dyDescent="0.3">
      <c r="A30" s="20" t="s">
        <v>160</v>
      </c>
      <c r="B30" s="20" t="s">
        <v>100</v>
      </c>
      <c r="C30" s="20" t="s">
        <v>101</v>
      </c>
      <c r="D30" s="21" t="s">
        <v>489</v>
      </c>
      <c r="E30" s="21" t="s">
        <v>489</v>
      </c>
      <c r="F30" s="20" t="s">
        <v>477</v>
      </c>
      <c r="G30" s="21" t="s">
        <v>487</v>
      </c>
      <c r="H30" s="26" t="s">
        <v>98</v>
      </c>
      <c r="I30" s="28" t="str">
        <f t="shared" si="0"/>
        <v>/assets/testimonials/client6.jpg</v>
      </c>
      <c r="J30" s="1" t="e">
        <f ca="1">IF($A30="","",IF(UPPER($H30)&lt;&gt;"TRUE","Disabled",HYPERLINK("http://127.0.0.1:5173/__dev/asset-source"&amp;"?assetId="&amp;_xludf.ENCODEURL($A30)&amp;"&amp;sig="&amp;_xludf.ENCODEURL($B30&amp;"|"&amp;$C30&amp;"|"&amp;$D30&amp;"|"&amp;$E30&amp;"|"&amp;$H30),"Open source")))</f>
        <v>#NAME?</v>
      </c>
      <c r="K30" s="1" t="e">
        <f ca="1">IF($A30="","",IF(OR(UPPER($H30)&lt;&gt;"TRUE",$I30=""),"Unavailable",HYPERLINK("http://127.0.0.1:5173/__dev/asset-resolved"&amp;"?assetId="&amp;_xludf.ENCODEURL($A30)&amp;"&amp;sig="&amp;_xludf.ENCODEURL($B30&amp;"|"&amp;$C30&amp;"|"&amp;$D30&amp;"|"&amp;$E30&amp;"|"&amp;$H30),"Open resolved")))</f>
        <v>#NAME?</v>
      </c>
      <c r="L30" s="29" t="s">
        <v>490</v>
      </c>
      <c r="M30" s="1" t="str">
        <f>IF($A30="","",HYPERLINK("#'ASSET_PREVIEW'!A30","Open preview"))</f>
        <v>Open preview</v>
      </c>
      <c r="N30" s="30" t="str">
        <f t="shared" si="1"/>
        <v>READY -&gt; /assets/testimonials/client6.jpg</v>
      </c>
    </row>
    <row r="31" spans="1:14" ht="39.6" x14ac:dyDescent="0.3">
      <c r="A31" s="16" t="s">
        <v>161</v>
      </c>
      <c r="B31" s="16" t="s">
        <v>100</v>
      </c>
      <c r="C31" s="16" t="s">
        <v>101</v>
      </c>
      <c r="D31" s="17" t="s">
        <v>491</v>
      </c>
      <c r="E31" s="17" t="s">
        <v>491</v>
      </c>
      <c r="F31" s="16" t="s">
        <v>477</v>
      </c>
      <c r="G31" s="17" t="s">
        <v>487</v>
      </c>
      <c r="H31" s="24" t="s">
        <v>98</v>
      </c>
      <c r="I31" s="28" t="str">
        <f t="shared" si="0"/>
        <v>/assets/testimonials/client7.jpg</v>
      </c>
      <c r="J31" s="1" t="e">
        <f ca="1">IF($A31="","",IF(UPPER($H31)&lt;&gt;"TRUE","Disabled",HYPERLINK("http://127.0.0.1:5173/__dev/asset-source"&amp;"?assetId="&amp;_xludf.ENCODEURL($A31)&amp;"&amp;sig="&amp;_xludf.ENCODEURL($B31&amp;"|"&amp;$C31&amp;"|"&amp;$D31&amp;"|"&amp;$E31&amp;"|"&amp;$H31),"Open source")))</f>
        <v>#NAME?</v>
      </c>
      <c r="K31" s="1" t="e">
        <f ca="1">IF($A31="","",IF(OR(UPPER($H31)&lt;&gt;"TRUE",$I31=""),"Unavailable",HYPERLINK("http://127.0.0.1:5173/__dev/asset-resolved"&amp;"?assetId="&amp;_xludf.ENCODEURL($A31)&amp;"&amp;sig="&amp;_xludf.ENCODEURL($B31&amp;"|"&amp;$C31&amp;"|"&amp;$D31&amp;"|"&amp;$E31&amp;"|"&amp;$H31),"Open resolved")))</f>
        <v>#NAME?</v>
      </c>
      <c r="L31" s="29" t="s">
        <v>492</v>
      </c>
      <c r="M31" s="1" t="str">
        <f>IF($A31="","",HYPERLINK("#'ASSET_PREVIEW'!A31","Open preview"))</f>
        <v>Open preview</v>
      </c>
      <c r="N31" s="30" t="str">
        <f t="shared" si="1"/>
        <v>READY -&gt; /assets/testimonials/client7.jpg</v>
      </c>
    </row>
    <row r="32" spans="1:14" ht="39.6" x14ac:dyDescent="0.3">
      <c r="A32" s="20" t="s">
        <v>162</v>
      </c>
      <c r="B32" s="20" t="s">
        <v>100</v>
      </c>
      <c r="C32" s="20" t="s">
        <v>101</v>
      </c>
      <c r="D32" s="21" t="s">
        <v>493</v>
      </c>
      <c r="E32" s="21" t="s">
        <v>493</v>
      </c>
      <c r="F32" s="20" t="s">
        <v>477</v>
      </c>
      <c r="G32" s="21" t="s">
        <v>487</v>
      </c>
      <c r="H32" s="26" t="s">
        <v>98</v>
      </c>
      <c r="I32" s="28" t="str">
        <f t="shared" si="0"/>
        <v>/assets/testimonials/client8.jpg</v>
      </c>
      <c r="J32" s="1" t="e">
        <f ca="1">IF($A32="","",IF(UPPER($H32)&lt;&gt;"TRUE","Disabled",HYPERLINK("http://127.0.0.1:5173/__dev/asset-source"&amp;"?assetId="&amp;_xludf.ENCODEURL($A32)&amp;"&amp;sig="&amp;_xludf.ENCODEURL($B32&amp;"|"&amp;$C32&amp;"|"&amp;$D32&amp;"|"&amp;$E32&amp;"|"&amp;$H32),"Open source")))</f>
        <v>#NAME?</v>
      </c>
      <c r="K32" s="1" t="e">
        <f ca="1">IF($A32="","",IF(OR(UPPER($H32)&lt;&gt;"TRUE",$I32=""),"Unavailable",HYPERLINK("http://127.0.0.1:5173/__dev/asset-resolved"&amp;"?assetId="&amp;_xludf.ENCODEURL($A32)&amp;"&amp;sig="&amp;_xludf.ENCODEURL($B32&amp;"|"&amp;$C32&amp;"|"&amp;$D32&amp;"|"&amp;$E32&amp;"|"&amp;$H32),"Open resolved")))</f>
        <v>#NAME?</v>
      </c>
      <c r="L32" s="29" t="s">
        <v>494</v>
      </c>
      <c r="M32" s="1" t="str">
        <f>IF($A32="","",HYPERLINK("#'ASSET_PREVIEW'!A32","Open preview"))</f>
        <v>Open preview</v>
      </c>
      <c r="N32" s="30" t="str">
        <f t="shared" si="1"/>
        <v>READY -&gt; /assets/testimonials/client8.jpg</v>
      </c>
    </row>
    <row r="33" spans="1:14" ht="39.6" x14ac:dyDescent="0.3">
      <c r="A33" s="16" t="s">
        <v>163</v>
      </c>
      <c r="B33" s="16" t="s">
        <v>100</v>
      </c>
      <c r="C33" s="16" t="s">
        <v>101</v>
      </c>
      <c r="D33" s="17" t="s">
        <v>495</v>
      </c>
      <c r="E33" s="17" t="s">
        <v>495</v>
      </c>
      <c r="F33" s="16" t="s">
        <v>477</v>
      </c>
      <c r="G33" s="17" t="s">
        <v>487</v>
      </c>
      <c r="H33" s="24" t="s">
        <v>98</v>
      </c>
      <c r="I33" s="28" t="str">
        <f t="shared" si="0"/>
        <v>/assets/testimonials/client9.jpg</v>
      </c>
      <c r="J33" s="1" t="e">
        <f ca="1">IF($A33="","",IF(UPPER($H33)&lt;&gt;"TRUE","Disabled",HYPERLINK("http://127.0.0.1:5173/__dev/asset-source"&amp;"?assetId="&amp;_xludf.ENCODEURL($A33)&amp;"&amp;sig="&amp;_xludf.ENCODEURL($B33&amp;"|"&amp;$C33&amp;"|"&amp;$D33&amp;"|"&amp;$E33&amp;"|"&amp;$H33),"Open source")))</f>
        <v>#NAME?</v>
      </c>
      <c r="K33" s="1" t="e">
        <f ca="1">IF($A33="","",IF(OR(UPPER($H33)&lt;&gt;"TRUE",$I33=""),"Unavailable",HYPERLINK("http://127.0.0.1:5173/__dev/asset-resolved"&amp;"?assetId="&amp;_xludf.ENCODEURL($A33)&amp;"&amp;sig="&amp;_xludf.ENCODEURL($B33&amp;"|"&amp;$C33&amp;"|"&amp;$D33&amp;"|"&amp;$E33&amp;"|"&amp;$H33),"Open resolved")))</f>
        <v>#NAME?</v>
      </c>
      <c r="L33" s="31" t="s">
        <v>496</v>
      </c>
      <c r="M33" s="1" t="str">
        <f>IF($A33="","",HYPERLINK("#'ASSET_PREVIEW'!A33","Open preview"))</f>
        <v>Open preview</v>
      </c>
      <c r="N33" s="30" t="str">
        <f t="shared" si="1"/>
        <v>READY -&gt; /assets/testimonials/client9.jpg</v>
      </c>
    </row>
    <row r="34" spans="1:14" ht="39.6" x14ac:dyDescent="0.3">
      <c r="A34" s="20" t="s">
        <v>164</v>
      </c>
      <c r="B34" s="20" t="s">
        <v>100</v>
      </c>
      <c r="C34" s="20" t="s">
        <v>101</v>
      </c>
      <c r="D34" s="21" t="s">
        <v>497</v>
      </c>
      <c r="E34" s="21" t="s">
        <v>497</v>
      </c>
      <c r="F34" s="20" t="s">
        <v>477</v>
      </c>
      <c r="G34" s="21" t="s">
        <v>487</v>
      </c>
      <c r="H34" s="26" t="s">
        <v>98</v>
      </c>
      <c r="I34" s="28" t="str">
        <f t="shared" si="0"/>
        <v>/assets/testimonials/client10.jpg</v>
      </c>
      <c r="J34" s="1" t="e">
        <f ca="1">IF($A34="","",IF(UPPER($H34)&lt;&gt;"TRUE","Disabled",HYPERLINK("http://127.0.0.1:5173/__dev/asset-source"&amp;"?assetId="&amp;_xludf.ENCODEURL($A34)&amp;"&amp;sig="&amp;_xludf.ENCODEURL($B34&amp;"|"&amp;$C34&amp;"|"&amp;$D34&amp;"|"&amp;$E34&amp;"|"&amp;$H34),"Open source")))</f>
        <v>#NAME?</v>
      </c>
      <c r="K34" s="1" t="e">
        <f ca="1">IF($A34="","",IF(OR(UPPER($H34)&lt;&gt;"TRUE",$I34=""),"Unavailable",HYPERLINK("http://127.0.0.1:5173/__dev/asset-resolved"&amp;"?assetId="&amp;_xludf.ENCODEURL($A34)&amp;"&amp;sig="&amp;_xludf.ENCODEURL($B34&amp;"|"&amp;$C34&amp;"|"&amp;$D34&amp;"|"&amp;$E34&amp;"|"&amp;$H34),"Open resolved")))</f>
        <v>#NAME?</v>
      </c>
      <c r="L34" s="31" t="s">
        <v>496</v>
      </c>
      <c r="M34" s="1" t="str">
        <f>IF($A34="","",HYPERLINK("#'ASSET_PREVIEW'!A34","Open preview"))</f>
        <v>Open preview</v>
      </c>
      <c r="N34" s="30" t="str">
        <f t="shared" si="1"/>
        <v>READY -&gt; /assets/testimonials/client10.jpg</v>
      </c>
    </row>
    <row r="35" spans="1:14" ht="39.6" x14ac:dyDescent="0.3">
      <c r="A35" s="16" t="s">
        <v>165</v>
      </c>
      <c r="B35" s="16" t="s">
        <v>100</v>
      </c>
      <c r="C35" s="16" t="s">
        <v>101</v>
      </c>
      <c r="D35" s="17" t="s">
        <v>498</v>
      </c>
      <c r="E35" s="17" t="s">
        <v>498</v>
      </c>
      <c r="F35" s="16" t="s">
        <v>477</v>
      </c>
      <c r="G35" s="17" t="s">
        <v>487</v>
      </c>
      <c r="H35" s="24" t="s">
        <v>98</v>
      </c>
      <c r="I35" s="28" t="str">
        <f t="shared" si="0"/>
        <v>/assets/testimonials/client11.jpg</v>
      </c>
      <c r="J35" s="1" t="e">
        <f ca="1">IF($A35="","",IF(UPPER($H35)&lt;&gt;"TRUE","Disabled",HYPERLINK("http://127.0.0.1:5173/__dev/asset-source"&amp;"?assetId="&amp;_xludf.ENCODEURL($A35)&amp;"&amp;sig="&amp;_xludf.ENCODEURL($B35&amp;"|"&amp;$C35&amp;"|"&amp;$D35&amp;"|"&amp;$E35&amp;"|"&amp;$H35),"Open source")))</f>
        <v>#NAME?</v>
      </c>
      <c r="K35" s="1" t="e">
        <f ca="1">IF($A35="","",IF(OR(UPPER($H35)&lt;&gt;"TRUE",$I35=""),"Unavailable",HYPERLINK("http://127.0.0.1:5173/__dev/asset-resolved"&amp;"?assetId="&amp;_xludf.ENCODEURL($A35)&amp;"&amp;sig="&amp;_xludf.ENCODEURL($B35&amp;"|"&amp;$C35&amp;"|"&amp;$D35&amp;"|"&amp;$E35&amp;"|"&amp;$H35),"Open resolved")))</f>
        <v>#NAME?</v>
      </c>
      <c r="L35" s="29" t="s">
        <v>499</v>
      </c>
      <c r="M35" s="1" t="str">
        <f>IF($A35="","",HYPERLINK("#'ASSET_PREVIEW'!A35","Open preview"))</f>
        <v>Open preview</v>
      </c>
      <c r="N35" s="30" t="str">
        <f t="shared" si="1"/>
        <v>READY -&gt; /assets/testimonials/client11.jpg</v>
      </c>
    </row>
    <row r="36" spans="1:14" ht="39.6" x14ac:dyDescent="0.3">
      <c r="A36" s="20" t="s">
        <v>166</v>
      </c>
      <c r="B36" s="20" t="s">
        <v>100</v>
      </c>
      <c r="C36" s="20" t="s">
        <v>101</v>
      </c>
      <c r="D36" s="21" t="s">
        <v>500</v>
      </c>
      <c r="E36" s="21" t="s">
        <v>500</v>
      </c>
      <c r="F36" s="20" t="s">
        <v>501</v>
      </c>
      <c r="G36" s="21" t="s">
        <v>502</v>
      </c>
      <c r="H36" s="26" t="s">
        <v>98</v>
      </c>
      <c r="I36" s="28" t="str">
        <f t="shared" si="0"/>
        <v>/assets/testimonials/pack-leaf.svg</v>
      </c>
      <c r="J36" s="1" t="e">
        <f ca="1">IF($A36="","",IF(UPPER($H36)&lt;&gt;"TRUE","Disabled",HYPERLINK("http://127.0.0.1:5173/__dev/asset-source"&amp;"?assetId="&amp;_xludf.ENCODEURL($A36)&amp;"&amp;sig="&amp;_xludf.ENCODEURL($B36&amp;"|"&amp;$C36&amp;"|"&amp;$D36&amp;"|"&amp;$E36&amp;"|"&amp;$H36),"Open source")))</f>
        <v>#NAME?</v>
      </c>
      <c r="K36" s="1" t="e">
        <f ca="1">IF($A36="","",IF(OR(UPPER($H36)&lt;&gt;"TRUE",$I36=""),"Unavailable",HYPERLINK("http://127.0.0.1:5173/__dev/asset-resolved"&amp;"?assetId="&amp;_xludf.ENCODEURL($A36)&amp;"&amp;sig="&amp;_xludf.ENCODEURL($B36&amp;"|"&amp;$C36&amp;"|"&amp;$D36&amp;"|"&amp;$E36&amp;"|"&amp;$H36),"Open resolved")))</f>
        <v>#NAME?</v>
      </c>
      <c r="L36" s="29" t="s">
        <v>503</v>
      </c>
      <c r="M36" s="1" t="str">
        <f>IF($A36="","",HYPERLINK("#'ASSET_PREVIEW'!A36","Open preview"))</f>
        <v>Open preview</v>
      </c>
      <c r="N36" s="30" t="str">
        <f t="shared" si="1"/>
        <v>READY -&gt; /assets/testimonials/pack-leaf.svg</v>
      </c>
    </row>
    <row r="37" spans="1:14" ht="39.6" x14ac:dyDescent="0.3">
      <c r="A37" s="16" t="s">
        <v>167</v>
      </c>
      <c r="B37" s="16" t="s">
        <v>100</v>
      </c>
      <c r="C37" s="16" t="s">
        <v>101</v>
      </c>
      <c r="D37" s="17" t="s">
        <v>504</v>
      </c>
      <c r="E37" s="17" t="s">
        <v>504</v>
      </c>
      <c r="F37" s="16" t="s">
        <v>501</v>
      </c>
      <c r="G37" s="17" t="s">
        <v>502</v>
      </c>
      <c r="H37" s="24" t="s">
        <v>98</v>
      </c>
      <c r="I37" s="28" t="str">
        <f t="shared" si="0"/>
        <v>/assets/testimonials/pack-av.svg</v>
      </c>
      <c r="J37" s="1" t="e">
        <f ca="1">IF($A37="","",IF(UPPER($H37)&lt;&gt;"TRUE","Disabled",HYPERLINK("http://127.0.0.1:5173/__dev/asset-source"&amp;"?assetId="&amp;_xludf.ENCODEURL($A37)&amp;"&amp;sig="&amp;_xludf.ENCODEURL($B37&amp;"|"&amp;$C37&amp;"|"&amp;$D37&amp;"|"&amp;$E37&amp;"|"&amp;$H37),"Open source")))</f>
        <v>#NAME?</v>
      </c>
      <c r="K37" s="1" t="e">
        <f ca="1">IF($A37="","",IF(OR(UPPER($H37)&lt;&gt;"TRUE",$I37=""),"Unavailable",HYPERLINK("http://127.0.0.1:5173/__dev/asset-resolved"&amp;"?assetId="&amp;_xludf.ENCODEURL($A37)&amp;"&amp;sig="&amp;_xludf.ENCODEURL($B37&amp;"|"&amp;$C37&amp;"|"&amp;$D37&amp;"|"&amp;$E37&amp;"|"&amp;$H37),"Open resolved")))</f>
        <v>#NAME?</v>
      </c>
      <c r="L37" s="29" t="s">
        <v>505</v>
      </c>
      <c r="M37" s="1" t="str">
        <f>IF($A37="","",HYPERLINK("#'ASSET_PREVIEW'!A37","Open preview"))</f>
        <v>Open preview</v>
      </c>
      <c r="N37" s="30" t="str">
        <f t="shared" si="1"/>
        <v>READY -&gt; /assets/testimonials/pack-av.svg</v>
      </c>
    </row>
    <row r="38" spans="1:14" ht="39.6" x14ac:dyDescent="0.3">
      <c r="A38" s="20" t="s">
        <v>168</v>
      </c>
      <c r="B38" s="20" t="s">
        <v>100</v>
      </c>
      <c r="C38" s="20" t="s">
        <v>101</v>
      </c>
      <c r="D38" s="21" t="s">
        <v>506</v>
      </c>
      <c r="E38" s="21" t="s">
        <v>506</v>
      </c>
      <c r="F38" s="20" t="s">
        <v>501</v>
      </c>
      <c r="G38" s="21" t="s">
        <v>502</v>
      </c>
      <c r="H38" s="26" t="s">
        <v>98</v>
      </c>
      <c r="I38" s="28" t="str">
        <f t="shared" si="0"/>
        <v>/assets/testimonials/pack-signature-v2.svg</v>
      </c>
      <c r="J38" s="1" t="e">
        <f ca="1">IF($A38="","",IF(UPPER($H38)&lt;&gt;"TRUE","Disabled",HYPERLINK("http://127.0.0.1:5173/__dev/asset-source"&amp;"?assetId="&amp;_xludf.ENCODEURL($A38)&amp;"&amp;sig="&amp;_xludf.ENCODEURL($B38&amp;"|"&amp;$C38&amp;"|"&amp;$D38&amp;"|"&amp;$E38&amp;"|"&amp;$H38),"Open source")))</f>
        <v>#NAME?</v>
      </c>
      <c r="K38" s="1" t="e">
        <f ca="1">IF($A38="","",IF(OR(UPPER($H38)&lt;&gt;"TRUE",$I38=""),"Unavailable",HYPERLINK("http://127.0.0.1:5173/__dev/asset-resolved"&amp;"?assetId="&amp;_xludf.ENCODEURL($A38)&amp;"&amp;sig="&amp;_xludf.ENCODEURL($B38&amp;"|"&amp;$C38&amp;"|"&amp;$D38&amp;"|"&amp;$E38&amp;"|"&amp;$H38),"Open resolved")))</f>
        <v>#NAME?</v>
      </c>
      <c r="L38" s="29" t="s">
        <v>507</v>
      </c>
      <c r="M38" s="1" t="str">
        <f>IF($A38="","",HYPERLINK("#'ASSET_PREVIEW'!A38","Open preview"))</f>
        <v>Open preview</v>
      </c>
      <c r="N38" s="30" t="str">
        <f t="shared" si="1"/>
        <v>READY -&gt; /assets/testimonials/pack-signature-v2.svg</v>
      </c>
    </row>
    <row r="39" spans="1:14" ht="39.6" x14ac:dyDescent="0.3">
      <c r="A39" s="16" t="s">
        <v>169</v>
      </c>
      <c r="B39" s="16" t="s">
        <v>100</v>
      </c>
      <c r="C39" s="16" t="s">
        <v>101</v>
      </c>
      <c r="D39" s="17" t="s">
        <v>508</v>
      </c>
      <c r="E39" s="17" t="s">
        <v>508</v>
      </c>
      <c r="F39" s="16" t="s">
        <v>477</v>
      </c>
      <c r="G39" s="17" t="s">
        <v>509</v>
      </c>
      <c r="H39" s="24" t="s">
        <v>98</v>
      </c>
      <c r="I39" s="28" t="str">
        <f t="shared" si="0"/>
        <v>/assets/testimonials/client12.jpg</v>
      </c>
      <c r="J39" s="1" t="e">
        <f ca="1">IF($A39="","",IF(UPPER($H39)&lt;&gt;"TRUE","Disabled",HYPERLINK("http://127.0.0.1:5173/__dev/asset-source"&amp;"?assetId="&amp;_xludf.ENCODEURL($A39)&amp;"&amp;sig="&amp;_xludf.ENCODEURL($B39&amp;"|"&amp;$C39&amp;"|"&amp;$D39&amp;"|"&amp;$E39&amp;"|"&amp;$H39),"Open source")))</f>
        <v>#NAME?</v>
      </c>
      <c r="K39" s="1" t="e">
        <f ca="1">IF($A39="","",IF(OR(UPPER($H39)&lt;&gt;"TRUE",$I39=""),"Unavailable",HYPERLINK("http://127.0.0.1:5173/__dev/asset-resolved"&amp;"?assetId="&amp;_xludf.ENCODEURL($A39)&amp;"&amp;sig="&amp;_xludf.ENCODEURL($B39&amp;"|"&amp;$C39&amp;"|"&amp;$D39&amp;"|"&amp;$E39&amp;"|"&amp;$H39),"Open resolved")))</f>
        <v>#NAME?</v>
      </c>
      <c r="L39" s="29" t="s">
        <v>510</v>
      </c>
      <c r="M39" s="1" t="str">
        <f>IF($A39="","",HYPERLINK("#'ASSET_PREVIEW'!A39","Open preview"))</f>
        <v>Open preview</v>
      </c>
      <c r="N39" s="30" t="str">
        <f t="shared" si="1"/>
        <v>READY -&gt; /assets/testimonials/client12.jpg</v>
      </c>
    </row>
    <row r="40" spans="1:14" ht="39.6" x14ac:dyDescent="0.3">
      <c r="A40" s="20" t="s">
        <v>170</v>
      </c>
      <c r="B40" s="20" t="s">
        <v>100</v>
      </c>
      <c r="C40" s="20" t="s">
        <v>101</v>
      </c>
      <c r="D40" s="21" t="s">
        <v>511</v>
      </c>
      <c r="E40" s="21" t="s">
        <v>511</v>
      </c>
      <c r="F40" s="20" t="s">
        <v>477</v>
      </c>
      <c r="G40" s="21" t="s">
        <v>509</v>
      </c>
      <c r="H40" s="26" t="s">
        <v>98</v>
      </c>
      <c r="I40" s="28" t="str">
        <f t="shared" si="0"/>
        <v>/assets/testimonials/client13.jpg</v>
      </c>
      <c r="J40" s="1" t="e">
        <f ca="1">IF($A40="","",IF(UPPER($H40)&lt;&gt;"TRUE","Disabled",HYPERLINK("http://127.0.0.1:5173/__dev/asset-source"&amp;"?assetId="&amp;_xludf.ENCODEURL($A40)&amp;"&amp;sig="&amp;_xludf.ENCODEURL($B40&amp;"|"&amp;$C40&amp;"|"&amp;$D40&amp;"|"&amp;$E40&amp;"|"&amp;$H40),"Open source")))</f>
        <v>#NAME?</v>
      </c>
      <c r="K40" s="1" t="e">
        <f ca="1">IF($A40="","",IF(OR(UPPER($H40)&lt;&gt;"TRUE",$I40=""),"Unavailable",HYPERLINK("http://127.0.0.1:5173/__dev/asset-resolved"&amp;"?assetId="&amp;_xludf.ENCODEURL($A40)&amp;"&amp;sig="&amp;_xludf.ENCODEURL($B40&amp;"|"&amp;$C40&amp;"|"&amp;$D40&amp;"|"&amp;$E40&amp;"|"&amp;$H40),"Open resolved")))</f>
        <v>#NAME?</v>
      </c>
      <c r="L40" s="29" t="s">
        <v>512</v>
      </c>
      <c r="M40" s="1" t="str">
        <f>IF($A40="","",HYPERLINK("#'ASSET_PREVIEW'!A40","Open preview"))</f>
        <v>Open preview</v>
      </c>
      <c r="N40" s="30" t="str">
        <f t="shared" si="1"/>
        <v>READY -&gt; /assets/testimonials/client13.jpg</v>
      </c>
    </row>
    <row r="41" spans="1:14" ht="39.6" x14ac:dyDescent="0.3">
      <c r="A41" s="16" t="s">
        <v>171</v>
      </c>
      <c r="B41" s="16" t="s">
        <v>100</v>
      </c>
      <c r="C41" s="16" t="s">
        <v>101</v>
      </c>
      <c r="D41" s="17" t="s">
        <v>513</v>
      </c>
      <c r="E41" s="17" t="s">
        <v>513</v>
      </c>
      <c r="F41" s="16" t="s">
        <v>477</v>
      </c>
      <c r="G41" s="17" t="s">
        <v>509</v>
      </c>
      <c r="H41" s="24" t="s">
        <v>98</v>
      </c>
      <c r="I41" s="28" t="str">
        <f t="shared" si="0"/>
        <v>/assets/testimonials/client14.jpg</v>
      </c>
      <c r="J41" s="1" t="e">
        <f ca="1">IF($A41="","",IF(UPPER($H41)&lt;&gt;"TRUE","Disabled",HYPERLINK("http://127.0.0.1:5173/__dev/asset-source"&amp;"?assetId="&amp;_xludf.ENCODEURL($A41)&amp;"&amp;sig="&amp;_xludf.ENCODEURL($B41&amp;"|"&amp;$C41&amp;"|"&amp;$D41&amp;"|"&amp;$E41&amp;"|"&amp;$H41),"Open source")))</f>
        <v>#NAME?</v>
      </c>
      <c r="K41" s="1" t="e">
        <f ca="1">IF($A41="","",IF(OR(UPPER($H41)&lt;&gt;"TRUE",$I41=""),"Unavailable",HYPERLINK("http://127.0.0.1:5173/__dev/asset-resolved"&amp;"?assetId="&amp;_xludf.ENCODEURL($A41)&amp;"&amp;sig="&amp;_xludf.ENCODEURL($B41&amp;"|"&amp;$C41&amp;"|"&amp;$D41&amp;"|"&amp;$E41&amp;"|"&amp;$H41),"Open resolved")))</f>
        <v>#NAME?</v>
      </c>
      <c r="L41" s="29" t="s">
        <v>514</v>
      </c>
      <c r="M41" s="1" t="str">
        <f>IF($A41="","",HYPERLINK("#'ASSET_PREVIEW'!A41","Open preview"))</f>
        <v>Open preview</v>
      </c>
      <c r="N41" s="30" t="str">
        <f t="shared" si="1"/>
        <v>READY -&gt; /assets/testimonials/client14.jpg</v>
      </c>
    </row>
    <row r="42" spans="1:14" ht="39.6" x14ac:dyDescent="0.3">
      <c r="A42" s="20" t="s">
        <v>172</v>
      </c>
      <c r="B42" s="20" t="s">
        <v>100</v>
      </c>
      <c r="C42" s="20" t="s">
        <v>101</v>
      </c>
      <c r="D42" s="21" t="s">
        <v>515</v>
      </c>
      <c r="E42" s="21" t="s">
        <v>515</v>
      </c>
      <c r="F42" s="20" t="s">
        <v>477</v>
      </c>
      <c r="G42" s="21" t="s">
        <v>509</v>
      </c>
      <c r="H42" s="26" t="s">
        <v>98</v>
      </c>
      <c r="I42" s="28" t="str">
        <f t="shared" si="0"/>
        <v>/assets/testimonials/client15.jpg</v>
      </c>
      <c r="J42" s="1" t="e">
        <f ca="1">IF($A42="","",IF(UPPER($H42)&lt;&gt;"TRUE","Disabled",HYPERLINK("http://127.0.0.1:5173/__dev/asset-source"&amp;"?assetId="&amp;_xludf.ENCODEURL($A42)&amp;"&amp;sig="&amp;_xludf.ENCODEURL($B42&amp;"|"&amp;$C42&amp;"|"&amp;$D42&amp;"|"&amp;$E42&amp;"|"&amp;$H42),"Open source")))</f>
        <v>#NAME?</v>
      </c>
      <c r="K42" s="1" t="e">
        <f ca="1">IF($A42="","",IF(OR(UPPER($H42)&lt;&gt;"TRUE",$I42=""),"Unavailable",HYPERLINK("http://127.0.0.1:5173/__dev/asset-resolved"&amp;"?assetId="&amp;_xludf.ENCODEURL($A42)&amp;"&amp;sig="&amp;_xludf.ENCODEURL($B42&amp;"|"&amp;$C42&amp;"|"&amp;$D42&amp;"|"&amp;$E42&amp;"|"&amp;$H42),"Open resolved")))</f>
        <v>#NAME?</v>
      </c>
      <c r="L42" s="29" t="s">
        <v>516</v>
      </c>
      <c r="M42" s="1" t="str">
        <f>IF($A42="","",HYPERLINK("#'ASSET_PREVIEW'!A42","Open preview"))</f>
        <v>Open preview</v>
      </c>
      <c r="N42" s="30" t="str">
        <f t="shared" si="1"/>
        <v>READY -&gt; /assets/testimonials/client15.jpg</v>
      </c>
    </row>
    <row r="43" spans="1:14" ht="39.6" x14ac:dyDescent="0.3">
      <c r="A43" s="16" t="s">
        <v>173</v>
      </c>
      <c r="B43" s="16" t="s">
        <v>100</v>
      </c>
      <c r="C43" s="16" t="s">
        <v>101</v>
      </c>
      <c r="D43" s="17" t="s">
        <v>517</v>
      </c>
      <c r="E43" s="17" t="s">
        <v>517</v>
      </c>
      <c r="F43" s="16" t="s">
        <v>501</v>
      </c>
      <c r="G43" s="17" t="s">
        <v>518</v>
      </c>
      <c r="H43" s="24" t="s">
        <v>98</v>
      </c>
      <c r="I43" s="28" t="str">
        <f t="shared" si="0"/>
        <v>/assets/testimonials/pack-smark.svg</v>
      </c>
      <c r="J43" s="1" t="e">
        <f ca="1">IF($A43="","",IF(UPPER($H43)&lt;&gt;"TRUE","Disabled",HYPERLINK("http://127.0.0.1:5173/__dev/asset-source"&amp;"?assetId="&amp;_xludf.ENCODEURL($A43)&amp;"&amp;sig="&amp;_xludf.ENCODEURL($B43&amp;"|"&amp;$C43&amp;"|"&amp;$D43&amp;"|"&amp;$E43&amp;"|"&amp;$H43),"Open source")))</f>
        <v>#NAME?</v>
      </c>
      <c r="K43" s="1" t="e">
        <f ca="1">IF($A43="","",IF(OR(UPPER($H43)&lt;&gt;"TRUE",$I43=""),"Unavailable",HYPERLINK("http://127.0.0.1:5173/__dev/asset-resolved"&amp;"?assetId="&amp;_xludf.ENCODEURL($A43)&amp;"&amp;sig="&amp;_xludf.ENCODEURL($B43&amp;"|"&amp;$C43&amp;"|"&amp;$D43&amp;"|"&amp;$E43&amp;"|"&amp;$H43),"Open resolved")))</f>
        <v>#NAME?</v>
      </c>
      <c r="L43" s="31" t="s">
        <v>496</v>
      </c>
      <c r="M43" s="1" t="str">
        <f>IF($A43="","",HYPERLINK("#'ASSET_PREVIEW'!A43","Open preview"))</f>
        <v>Open preview</v>
      </c>
      <c r="N43" s="30" t="str">
        <f t="shared" si="1"/>
        <v>READY -&gt; /assets/testimonials/pack-smark.svg</v>
      </c>
    </row>
    <row r="44" spans="1:14" ht="39.6" x14ac:dyDescent="0.3">
      <c r="A44" s="20" t="s">
        <v>174</v>
      </c>
      <c r="B44" s="20" t="s">
        <v>100</v>
      </c>
      <c r="C44" s="20" t="s">
        <v>101</v>
      </c>
      <c r="D44" s="21" t="s">
        <v>519</v>
      </c>
      <c r="E44" s="21" t="s">
        <v>519</v>
      </c>
      <c r="F44" s="20" t="s">
        <v>501</v>
      </c>
      <c r="G44" s="21" t="s">
        <v>518</v>
      </c>
      <c r="H44" s="26" t="s">
        <v>98</v>
      </c>
      <c r="I44" s="28" t="str">
        <f t="shared" si="0"/>
        <v>/assets/testimonials/pack-mountain.svg</v>
      </c>
      <c r="J44" s="1" t="e">
        <f ca="1">IF($A44="","",IF(UPPER($H44)&lt;&gt;"TRUE","Disabled",HYPERLINK("http://127.0.0.1:5173/__dev/asset-source"&amp;"?assetId="&amp;_xludf.ENCODEURL($A44)&amp;"&amp;sig="&amp;_xludf.ENCODEURL($B44&amp;"|"&amp;$C44&amp;"|"&amp;$D44&amp;"|"&amp;$E44&amp;"|"&amp;$H44),"Open source")))</f>
        <v>#NAME?</v>
      </c>
      <c r="K44" s="1" t="e">
        <f ca="1">IF($A44="","",IF(OR(UPPER($H44)&lt;&gt;"TRUE",$I44=""),"Unavailable",HYPERLINK("http://127.0.0.1:5173/__dev/asset-resolved"&amp;"?assetId="&amp;_xludf.ENCODEURL($A44)&amp;"&amp;sig="&amp;_xludf.ENCODEURL($B44&amp;"|"&amp;$C44&amp;"|"&amp;$D44&amp;"|"&amp;$E44&amp;"|"&amp;$H44),"Open resolved")))</f>
        <v>#NAME?</v>
      </c>
      <c r="L44" s="31" t="s">
        <v>496</v>
      </c>
      <c r="M44" s="1" t="str">
        <f>IF($A44="","",HYPERLINK("#'ASSET_PREVIEW'!A44","Open preview"))</f>
        <v>Open preview</v>
      </c>
      <c r="N44" s="30" t="str">
        <f t="shared" si="1"/>
        <v>READY -&gt; /assets/testimonials/pack-mountain.svg</v>
      </c>
    </row>
    <row r="45" spans="1:14" ht="14.4" x14ac:dyDescent="0.3">
      <c r="A45" s="16" t="inlineStr">
        <is>
          <t>project-6-video</t>
        </is>
      </c>
      <c r="B45" s="16" t="inlineStr">
        <is>
          <t>video</t>
        </is>
      </c>
      <c r="C45" s="16" t="inlineStr">
        <is>
          <t>existing_public</t>
        </is>
      </c>
      <c r="D45" s="17" t="inlineStr">
        <is>
          <t>/assets/projects/remote-pc-bridge.mp4</t>
        </is>
      </c>
      <c r="E45" s="17" t="inlineStr">
        <is>
          <t>/assets/projects/remote-pc-bridge.mp4</t>
        </is>
      </c>
      <c r="F45" s="16" t="inlineStr">
        <is>
          <t>Remote PC Bridge interface and PC demo</t>
        </is>
      </c>
      <c r="G45" s="17" t="inlineStr">
        <is>
          <t>Master video from supplied project footage</t>
        </is>
      </c>
      <c r="H45" s="24" t="inlineStr">
        <is>
          <t>TRUE</t>
        </is>
      </c>
      <c r="I45" s="28" t="str">
        <f t="shared" si="0"/>
        <v/>
      </c>
      <c r="J45" s="1" t="str">
        <f>IF($A45="","",IF(UPPER($H45)&lt;&gt;"TRUE","Disabled",HYPERLINK("http://127.0.0.1:5173/__dev/asset-source"&amp;"?assetId="&amp;_xludf.ENCODEURL($A45)&amp;"&amp;sig="&amp;_xludf.ENCODEURL($B45&amp;"|"&amp;$C45&amp;"|"&amp;$D45&amp;"|"&amp;$E45&amp;"|"&amp;$H45),"Open source")))</f>
        <v/>
      </c>
      <c r="K45" s="1" t="str">
        <f>IF($A45="","",IF(OR(UPPER($H45)&lt;&gt;"TRUE",$I45=""),"Unavailable",HYPERLINK("http://127.0.0.1:5173/__dev/asset-resolved"&amp;"?assetId="&amp;_xludf.ENCODEURL($A45)&amp;"&amp;sig="&amp;_xludf.ENCODEURL($B45&amp;"|"&amp;$C45&amp;"|"&amp;$D45&amp;"|"&amp;$E45&amp;"|"&amp;$H45),"Open resolved")))</f>
        <v/>
      </c>
      <c r="L45" s="32" t="inlineStr">
        <is>
          <t>Remote PC Bridge video</t>
        </is>
      </c>
      <c r="M45" s="1" t="str">
        <f>IF($A45="","",HYPERLINK("#'ASSET_PREVIEW'!A45","Open preview"))</f>
        <v/>
      </c>
      <c r="N45" s="30" t="str">
        <f t="shared" si="1"/>
        <v/>
      </c>
    </row>
    <row r="46" spans="1:14" ht="14.4" x14ac:dyDescent="0.3">
      <c r="A46" s="20" t="inlineStr">
        <is>
          <t>project-6-thumbnail</t>
        </is>
      </c>
      <c r="B46" s="20" t="inlineStr">
        <is>
          <t>image</t>
        </is>
      </c>
      <c r="C46" s="20" t="inlineStr">
        <is>
          <t>existing_public</t>
        </is>
      </c>
      <c r="D46" s="21" t="inlineStr">
        <is>
          <t>/assets/projects/remote-pc-bridge.jpg</t>
        </is>
      </c>
      <c r="E46" s="21" t="inlineStr">
        <is>
          <t>/assets/projects/remote-pc-bridge.jpg</t>
        </is>
      </c>
      <c r="F46" s="20" t="inlineStr">
        <is>
          <t>Remote PC Bridge dashboard in dark and light themes</t>
        </is>
      </c>
      <c r="G46" s="21" t="inlineStr">
        <is>
          <t>Poster frame from supplied project footage</t>
        </is>
      </c>
      <c r="H46" s="26" t="inlineStr">
        <is>
          <t>TRUE</t>
        </is>
      </c>
      <c r="I46" s="28" t="str">
        <f t="shared" si="0"/>
        <v/>
      </c>
      <c r="J46" s="1" t="str">
        <f>IF($A46="","",IF(UPPER($H46)&lt;&gt;"TRUE","Disabled",HYPERLINK("http://127.0.0.1:5173/__dev/asset-source"&amp;"?assetId="&amp;_xludf.ENCODEURL($A46)&amp;"&amp;sig="&amp;_xludf.ENCODEURL($B46&amp;"|"&amp;$C46&amp;"|"&amp;$D46&amp;"|"&amp;$E46&amp;"|"&amp;$H46),"Open source")))</f>
        <v/>
      </c>
      <c r="K46" s="1" t="str">
        <f>IF($A46="","",IF(OR(UPPER($H46)&lt;&gt;"TRUE",$I46=""),"Unavailable",HYPERLINK("http://127.0.0.1:5173/__dev/asset-resolved"&amp;"?assetId="&amp;_xludf.ENCODEURL($A46)&amp;"&amp;sig="&amp;_xludf.ENCODEURL($B46&amp;"|"&amp;$C46&amp;"|"&amp;$D46&amp;"|"&amp;$E46&amp;"|"&amp;$H46),"Open resolved")))</f>
        <v/>
      </c>
      <c r="L46" s="32" t="inlineStr">
        <is>
          <t>Remote PC Bridge thumbnail</t>
        </is>
      </c>
      <c r="M46" s="1" t="str">
        <f>IF($A46="","",HYPERLINK("#'ASSET_PREVIEW'!A46","Open preview"))</f>
        <v/>
      </c>
      <c r="N46" s="30" t="str">
        <f t="shared" si="1"/>
        <v/>
      </c>
    </row>
    <row r="47" spans="1:14" ht="14.4" x14ac:dyDescent="0.3">
      <c r="A47" s="16" t="inlineStr">
        <is>
          <t>project-6-icon</t>
        </is>
      </c>
      <c r="B47" s="16" t="inlineStr">
        <is>
          <t>icon</t>
        </is>
      </c>
      <c r="C47" s="16" t="inlineStr">
        <is>
          <t>existing_public</t>
        </is>
      </c>
      <c r="D47" s="17" t="inlineStr">
        <is>
          <t>/assets/projects/remote-pc-bridge-icon.png</t>
        </is>
      </c>
      <c r="E47" s="17" t="inlineStr">
        <is>
          <t>/assets/projects/remote-pc-bridge-icon.png</t>
        </is>
      </c>
      <c r="F47" s="16" t="inlineStr">
        <is>
          <t>Remote PC Bridge icon</t>
        </is>
      </c>
      <c r="G47" s="17" t="inlineStr">
        <is>
          <t>Project icon</t>
        </is>
      </c>
      <c r="H47" s="24" t="inlineStr">
        <is>
          <t>TRUE</t>
        </is>
      </c>
      <c r="I47" s="28" t="str">
        <f t="shared" si="0"/>
        <v/>
      </c>
      <c r="J47" s="1" t="str">
        <f>IF($A47="","",IF(UPPER($H47)&lt;&gt;"TRUE","Disabled",HYPERLINK("http://127.0.0.1:5173/__dev/asset-source"&amp;"?assetId="&amp;_xludf.ENCODEURL($A47)&amp;"&amp;sig="&amp;_xludf.ENCODEURL($B47&amp;"|"&amp;$C47&amp;"|"&amp;$D47&amp;"|"&amp;$E47&amp;"|"&amp;$H47),"Open source")))</f>
        <v/>
      </c>
      <c r="K47" s="1" t="str">
        <f>IF($A47="","",IF(OR(UPPER($H47)&lt;&gt;"TRUE",$I47=""),"Unavailable",HYPERLINK("http://127.0.0.1:5173/__dev/asset-resolved"&amp;"?assetId="&amp;_xludf.ENCODEURL($A47)&amp;"&amp;sig="&amp;_xludf.ENCODEURL($B47&amp;"|"&amp;$C47&amp;"|"&amp;$D47&amp;"|"&amp;$E47&amp;"|"&amp;$H47),"Open resolved")))</f>
        <v/>
      </c>
      <c r="L47" s="32" t="inlineStr">
        <is>
          <t>Remote PC Bridge icon</t>
        </is>
      </c>
      <c r="M47" s="1" t="str">
        <f>IF($A47="","",HYPERLINK("#'ASSET_PREVIEW'!A47","Open preview"))</f>
        <v/>
      </c>
      <c r="N47" s="30" t="str">
        <f t="shared" si="1"/>
        <v/>
      </c>
    </row>
    <row r="48" spans="1:14" ht="14.4" x14ac:dyDescent="0.3">
      <c r="A48" s="20"/>
      <c r="B48" s="20"/>
      <c r="C48" s="20"/>
      <c r="D48" s="21"/>
      <c r="E48" s="21"/>
      <c r="F48" s="20"/>
      <c r="G48" s="21"/>
      <c r="H48" s="26"/>
      <c r="I48" s="28" t="str">
        <f t="shared" si="0"/>
        <v/>
      </c>
      <c r="J48" s="1" t="str">
        <f>IF($A48="","",IF(UPPER($H48)&lt;&gt;"TRUE","Disabled",HYPERLINK("http://127.0.0.1:5173/__dev/asset-source"&amp;"?assetId="&amp;_xludf.ENCODEURL($A48)&amp;"&amp;sig="&amp;_xludf.ENCODEURL($B48&amp;"|"&amp;$C48&amp;"|"&amp;$D48&amp;"|"&amp;$E48&amp;"|"&amp;$H48),"Open source")))</f>
        <v/>
      </c>
      <c r="K48" s="1" t="str">
        <f>IF($A48="","",IF(OR(UPPER($H48)&lt;&gt;"TRUE",$I48=""),"Unavailable",HYPERLINK("http://127.0.0.1:5173/__dev/asset-resolved"&amp;"?assetId="&amp;_xludf.ENCODEURL($A48)&amp;"&amp;sig="&amp;_xludf.ENCODEURL($B48&amp;"|"&amp;$C48&amp;"|"&amp;$D48&amp;"|"&amp;$E48&amp;"|"&amp;$H48),"Open resolved")))</f>
        <v/>
      </c>
      <c r="L48" s="32"/>
      <c r="M48" s="1" t="str">
        <f>IF($A48="","",HYPERLINK("#'ASSET_PREVIEW'!A48","Open preview"))</f>
        <v/>
      </c>
      <c r="N48" s="30" t="str">
        <f t="shared" si="1"/>
        <v/>
      </c>
    </row>
    <row r="49" spans="1:14" ht="14.4" x14ac:dyDescent="0.3">
      <c r="A49" s="16"/>
      <c r="B49" s="16"/>
      <c r="C49" s="16"/>
      <c r="D49" s="17"/>
      <c r="E49" s="17"/>
      <c r="F49" s="16"/>
      <c r="G49" s="17"/>
      <c r="H49" s="24"/>
      <c r="I49" s="28" t="str">
        <f t="shared" si="0"/>
        <v/>
      </c>
      <c r="J49" s="1" t="str">
        <f>IF($A49="","",IF(UPPER($H49)&lt;&gt;"TRUE","Disabled",HYPERLINK("http://127.0.0.1:5173/__dev/asset-source"&amp;"?assetId="&amp;_xludf.ENCODEURL($A49)&amp;"&amp;sig="&amp;_xludf.ENCODEURL($B49&amp;"|"&amp;$C49&amp;"|"&amp;$D49&amp;"|"&amp;$E49&amp;"|"&amp;$H49),"Open source")))</f>
        <v/>
      </c>
      <c r="K49" s="1" t="str">
        <f>IF($A49="","",IF(OR(UPPER($H49)&lt;&gt;"TRUE",$I49=""),"Unavailable",HYPERLINK("http://127.0.0.1:5173/__dev/asset-resolved"&amp;"?assetId="&amp;_xludf.ENCODEURL($A49)&amp;"&amp;sig="&amp;_xludf.ENCODEURL($B49&amp;"|"&amp;$C49&amp;"|"&amp;$D49&amp;"|"&amp;$E49&amp;"|"&amp;$H49),"Open resolved")))</f>
        <v/>
      </c>
      <c r="L49" s="32"/>
      <c r="M49" s="1" t="str">
        <f>IF($A49="","",HYPERLINK("#'ASSET_PREVIEW'!A49","Open preview"))</f>
        <v/>
      </c>
      <c r="N49" s="30" t="str">
        <f t="shared" si="1"/>
        <v/>
      </c>
    </row>
    <row r="50" spans="1:14" ht="14.4" x14ac:dyDescent="0.3">
      <c r="A50" s="20"/>
      <c r="B50" s="20"/>
      <c r="C50" s="20"/>
      <c r="D50" s="21"/>
      <c r="E50" s="21"/>
      <c r="F50" s="20"/>
      <c r="G50" s="21"/>
      <c r="H50" s="26"/>
      <c r="I50" s="28" t="str">
        <f t="shared" si="0"/>
        <v/>
      </c>
      <c r="J50" s="1" t="str">
        <f>IF($A50="","",IF(UPPER($H50)&lt;&gt;"TRUE","Disabled",HYPERLINK("http://127.0.0.1:5173/__dev/asset-source"&amp;"?assetId="&amp;_xludf.ENCODEURL($A50)&amp;"&amp;sig="&amp;_xludf.ENCODEURL($B50&amp;"|"&amp;$C50&amp;"|"&amp;$D50&amp;"|"&amp;$E50&amp;"|"&amp;$H50),"Open source")))</f>
        <v/>
      </c>
      <c r="K50" s="1" t="str">
        <f>IF($A50="","",IF(OR(UPPER($H50)&lt;&gt;"TRUE",$I50=""),"Unavailable",HYPERLINK("http://127.0.0.1:5173/__dev/asset-resolved"&amp;"?assetId="&amp;_xludf.ENCODEURL($A50)&amp;"&amp;sig="&amp;_xludf.ENCODEURL($B50&amp;"|"&amp;$C50&amp;"|"&amp;$D50&amp;"|"&amp;$E50&amp;"|"&amp;$H50),"Open resolved")))</f>
        <v/>
      </c>
      <c r="L50" s="32"/>
      <c r="M50" s="1" t="str">
        <f>IF($A50="","",HYPERLINK("#'ASSET_PREVIEW'!A50","Open preview"))</f>
        <v/>
      </c>
      <c r="N50" s="30" t="str">
        <f t="shared" si="1"/>
        <v/>
      </c>
    </row>
    <row r="51" spans="1:14" ht="14.4" x14ac:dyDescent="0.3">
      <c r="A51" s="16"/>
      <c r="B51" s="16"/>
      <c r="C51" s="16"/>
      <c r="D51" s="17"/>
      <c r="E51" s="17"/>
      <c r="F51" s="16"/>
      <c r="G51" s="17"/>
      <c r="H51" s="24"/>
      <c r="I51" s="28" t="str">
        <f t="shared" si="0"/>
        <v/>
      </c>
      <c r="J51" s="1" t="str">
        <f>IF($A51="","",IF(UPPER($H51)&lt;&gt;"TRUE","Disabled",HYPERLINK("http://127.0.0.1:5173/__dev/asset-source"&amp;"?assetId="&amp;_xludf.ENCODEURL($A51)&amp;"&amp;sig="&amp;_xludf.ENCODEURL($B51&amp;"|"&amp;$C51&amp;"|"&amp;$D51&amp;"|"&amp;$E51&amp;"|"&amp;$H51),"Open source")))</f>
        <v/>
      </c>
      <c r="K51" s="1" t="str">
        <f>IF($A51="","",IF(OR(UPPER($H51)&lt;&gt;"TRUE",$I51=""),"Unavailable",HYPERLINK("http://127.0.0.1:5173/__dev/asset-resolved"&amp;"?assetId="&amp;_xludf.ENCODEURL($A51)&amp;"&amp;sig="&amp;_xludf.ENCODEURL($B51&amp;"|"&amp;$C51&amp;"|"&amp;$D51&amp;"|"&amp;$E51&amp;"|"&amp;$H51),"Open resolved")))</f>
        <v/>
      </c>
      <c r="L51" s="32"/>
      <c r="M51" s="1" t="str">
        <f>IF($A51="","",HYPERLINK("#'ASSET_PREVIEW'!A51","Open preview"))</f>
        <v/>
      </c>
      <c r="N51" s="30" t="str">
        <f t="shared" si="1"/>
        <v/>
      </c>
    </row>
    <row r="52" spans="1:14" ht="14.4" x14ac:dyDescent="0.3">
      <c r="A52" s="20"/>
      <c r="B52" s="20"/>
      <c r="C52" s="20"/>
      <c r="D52" s="21"/>
      <c r="E52" s="21"/>
      <c r="F52" s="20"/>
      <c r="G52" s="21"/>
      <c r="H52" s="26"/>
      <c r="I52" s="28" t="str">
        <f t="shared" si="0"/>
        <v/>
      </c>
      <c r="J52" s="1" t="str">
        <f>IF($A52="","",IF(UPPER($H52)&lt;&gt;"TRUE","Disabled",HYPERLINK("http://127.0.0.1:5173/__dev/asset-source"&amp;"?assetId="&amp;_xludf.ENCODEURL($A52)&amp;"&amp;sig="&amp;_xludf.ENCODEURL($B52&amp;"|"&amp;$C52&amp;"|"&amp;$D52&amp;"|"&amp;$E52&amp;"|"&amp;$H52),"Open source")))</f>
        <v/>
      </c>
      <c r="K52" s="1" t="str">
        <f>IF($A52="","",IF(OR(UPPER($H52)&lt;&gt;"TRUE",$I52=""),"Unavailable",HYPERLINK("http://127.0.0.1:5173/__dev/asset-resolved"&amp;"?assetId="&amp;_xludf.ENCODEURL($A52)&amp;"&amp;sig="&amp;_xludf.ENCODEURL($B52&amp;"|"&amp;$C52&amp;"|"&amp;$D52&amp;"|"&amp;$E52&amp;"|"&amp;$H52),"Open resolved")))</f>
        <v/>
      </c>
      <c r="L52" s="32"/>
      <c r="M52" s="1" t="str">
        <f>IF($A52="","",HYPERLINK("#'ASSET_PREVIEW'!A52","Open preview"))</f>
        <v/>
      </c>
      <c r="N52" s="30" t="str">
        <f t="shared" si="1"/>
        <v/>
      </c>
    </row>
    <row r="53" spans="1:14" ht="14.4" x14ac:dyDescent="0.3">
      <c r="A53" s="16"/>
      <c r="B53" s="16"/>
      <c r="C53" s="16"/>
      <c r="D53" s="17"/>
      <c r="E53" s="17"/>
      <c r="F53" s="16"/>
      <c r="G53" s="17"/>
      <c r="H53" s="24"/>
      <c r="I53" s="28" t="str">
        <f t="shared" si="0"/>
        <v/>
      </c>
      <c r="J53" s="1" t="str">
        <f>IF($A53="","",IF(UPPER($H53)&lt;&gt;"TRUE","Disabled",HYPERLINK("http://127.0.0.1:5173/__dev/asset-source"&amp;"?assetId="&amp;_xludf.ENCODEURL($A53)&amp;"&amp;sig="&amp;_xludf.ENCODEURL($B53&amp;"|"&amp;$C53&amp;"|"&amp;$D53&amp;"|"&amp;$E53&amp;"|"&amp;$H53),"Open source")))</f>
        <v/>
      </c>
      <c r="K53" s="1" t="str">
        <f>IF($A53="","",IF(OR(UPPER($H53)&lt;&gt;"TRUE",$I53=""),"Unavailable",HYPERLINK("http://127.0.0.1:5173/__dev/asset-resolved"&amp;"?assetId="&amp;_xludf.ENCODEURL($A53)&amp;"&amp;sig="&amp;_xludf.ENCODEURL($B53&amp;"|"&amp;$C53&amp;"|"&amp;$D53&amp;"|"&amp;$E53&amp;"|"&amp;$H53),"Open resolved")))</f>
        <v/>
      </c>
      <c r="L53" s="32"/>
      <c r="M53" s="1" t="str">
        <f>IF($A53="","",HYPERLINK("#'ASSET_PREVIEW'!A53","Open preview"))</f>
        <v/>
      </c>
      <c r="N53" s="30" t="str">
        <f t="shared" si="1"/>
        <v/>
      </c>
    </row>
    <row r="54" spans="1:14" ht="14.4" x14ac:dyDescent="0.3">
      <c r="A54" s="20"/>
      <c r="B54" s="20"/>
      <c r="C54" s="20"/>
      <c r="D54" s="21"/>
      <c r="E54" s="21"/>
      <c r="F54" s="20"/>
      <c r="G54" s="21"/>
      <c r="H54" s="26"/>
      <c r="I54" s="28" t="str">
        <f t="shared" si="0"/>
        <v/>
      </c>
      <c r="J54" s="1" t="str">
        <f>IF($A54="","",IF(UPPER($H54)&lt;&gt;"TRUE","Disabled",HYPERLINK("http://127.0.0.1:5173/__dev/asset-source"&amp;"?assetId="&amp;_xludf.ENCODEURL($A54)&amp;"&amp;sig="&amp;_xludf.ENCODEURL($B54&amp;"|"&amp;$C54&amp;"|"&amp;$D54&amp;"|"&amp;$E54&amp;"|"&amp;$H54),"Open source")))</f>
        <v/>
      </c>
      <c r="K54" s="1" t="str">
        <f>IF($A54="","",IF(OR(UPPER($H54)&lt;&gt;"TRUE",$I54=""),"Unavailable",HYPERLINK("http://127.0.0.1:5173/__dev/asset-resolved"&amp;"?assetId="&amp;_xludf.ENCODEURL($A54)&amp;"&amp;sig="&amp;_xludf.ENCODEURL($B54&amp;"|"&amp;$C54&amp;"|"&amp;$D54&amp;"|"&amp;$E54&amp;"|"&amp;$H54),"Open resolved")))</f>
        <v/>
      </c>
      <c r="L54" s="32"/>
      <c r="M54" s="1" t="str">
        <f>IF($A54="","",HYPERLINK("#'ASSET_PREVIEW'!A54","Open preview"))</f>
        <v/>
      </c>
      <c r="N54" s="30" t="str">
        <f t="shared" si="1"/>
        <v/>
      </c>
    </row>
    <row r="55" spans="1:14" ht="14.4" x14ac:dyDescent="0.3">
      <c r="A55" s="9"/>
      <c r="B55" s="9"/>
      <c r="C55" s="9"/>
      <c r="D55" s="8"/>
      <c r="E55" s="8"/>
      <c r="F55" s="9"/>
      <c r="G55" s="8"/>
      <c r="H55" s="9"/>
      <c r="I55" s="8"/>
      <c r="J55" s="9"/>
      <c r="K55" s="9"/>
      <c r="L55" s="8"/>
      <c r="M55" s="9"/>
      <c r="N55" s="9"/>
    </row>
    <row r="56" spans="1:14" ht="14.4" x14ac:dyDescent="0.3">
      <c r="A56" s="9"/>
      <c r="B56" s="9"/>
      <c r="C56" s="9"/>
      <c r="D56" s="8"/>
      <c r="E56" s="8"/>
      <c r="F56" s="9"/>
      <c r="G56" s="8"/>
      <c r="H56" s="9"/>
      <c r="I56" s="8"/>
      <c r="J56" s="9"/>
      <c r="K56" s="9"/>
      <c r="L56" s="8"/>
      <c r="M56" s="9"/>
      <c r="N56" s="9"/>
    </row>
    <row r="57" spans="1:14" ht="14.4" x14ac:dyDescent="0.3">
      <c r="A57" s="9"/>
      <c r="B57" s="9"/>
      <c r="C57" s="9"/>
      <c r="D57" s="8"/>
      <c r="E57" s="8"/>
      <c r="F57" s="9"/>
      <c r="G57" s="8"/>
      <c r="H57" s="9"/>
      <c r="I57" s="8"/>
      <c r="J57" s="9"/>
      <c r="K57" s="9"/>
      <c r="L57" s="8"/>
      <c r="M57" s="9"/>
      <c r="N57" s="9"/>
    </row>
    <row r="58" spans="1:14" ht="14.4" x14ac:dyDescent="0.3">
      <c r="A58" s="9"/>
      <c r="B58" s="9"/>
      <c r="C58" s="9"/>
      <c r="D58" s="8"/>
      <c r="E58" s="8"/>
      <c r="F58" s="9"/>
      <c r="G58" s="8"/>
      <c r="H58" s="9"/>
      <c r="I58" s="8"/>
      <c r="J58" s="9"/>
      <c r="K58" s="9"/>
      <c r="L58" s="8"/>
      <c r="M58" s="9"/>
      <c r="N58" s="9"/>
    </row>
    <row r="59" spans="1:14" ht="14.4" x14ac:dyDescent="0.3">
      <c r="A59" s="9"/>
      <c r="B59" s="9"/>
      <c r="C59" s="9"/>
      <c r="D59" s="8"/>
      <c r="E59" s="8"/>
      <c r="F59" s="9"/>
      <c r="G59" s="8"/>
      <c r="H59" s="9"/>
      <c r="I59" s="8"/>
      <c r="J59" s="9"/>
      <c r="K59" s="9"/>
      <c r="L59" s="8"/>
      <c r="M59" s="9"/>
      <c r="N59" s="9"/>
    </row>
  </sheetData>
  <autoFilter ref="A8:N8" xr:uid="{00000000-0009-0000-0000-000008000000}"/>
  <mergeCells count="16">
    <mergeCell ref="A7:N7"/>
    <mergeCell ref="A5:N5"/>
    <mergeCell ref="A6:B6"/>
    <mergeCell ref="C6:D6"/>
    <mergeCell ref="E6:F6"/>
    <mergeCell ref="G6:H6"/>
    <mergeCell ref="A1:N1"/>
    <mergeCell ref="A2:N2"/>
    <mergeCell ref="A3:N3"/>
    <mergeCell ref="A4:B4"/>
    <mergeCell ref="C4:D4"/>
    <mergeCell ref="E4:F4"/>
    <mergeCell ref="G4:H4"/>
    <mergeCell ref="I4:J4"/>
    <mergeCell ref="K4:L4"/>
    <mergeCell ref="M4:N4"/>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M4" location="#'TESTIMONIALS'!A8" tooltip="Testimonials -&gt; TESTIMONIALS" display="Testimonials" xr:uid="{00000000-0004-0000-0800-000006000000}"/>
    <hyperlink ref="L9" location="#'PROFILE'!A9" tooltip="Profile avatar -&gt; PROFILE" display="Profile avatar" xr:uid="{00000000-0004-0000-0800-000007000000}"/>
    <hyperlink ref="L10" location="#'PROJECTS'!A9" tooltip="Unity Interface Systems video -&gt; PROJECTS" display="Unity Interface Systems video" xr:uid="{00000000-0004-0000-0800-000008000000}"/>
    <hyperlink ref="L11" location="#'PROJECTS'!A9" tooltip="Unity Interface Systems thumbnail -&gt; PROJECTS" display="Unity Interface Systems thumbnail" xr:uid="{00000000-0004-0000-0800-000009000000}"/>
    <hyperlink ref="L12" location="#'PROJECTS'!A9" tooltip="Unity Interface Systems icon -&gt; PROJECTS" display="Unity Interface Systems icon" xr:uid="{00000000-0004-0000-0800-00000A000000}"/>
    <hyperlink ref="L13" location="#'PROJECTS'!A10" tooltip="Smart Inbox Manager video -&gt; PROJECTS" display="Smart Inbox Manager video" xr:uid="{00000000-0004-0000-0800-00000B000000}"/>
    <hyperlink ref="L14" location="#'PROJECTS'!A10" tooltip="Smart Inbox Manager thumbnail -&gt; PROJECTS" display="Smart Inbox Manager thumbnail" xr:uid="{00000000-0004-0000-0800-00000C000000}"/>
    <hyperlink ref="L15" location="#'PROJECTS'!A10" tooltip="Smart Inbox Manager icon -&gt; PROJECTS" display="Smart Inbox Manager icon" xr:uid="{00000000-0004-0000-0800-00000D000000}"/>
    <hyperlink ref="L16" location="#'PROJECTS'!A11" tooltip="Padel Booking Platform video -&gt; PROJECTS" display="Padel Booking Platform video" xr:uid="{00000000-0004-0000-0800-00000E000000}"/>
    <hyperlink ref="L17" location="#'PROJECTS'!A11" tooltip="Padel Booking Platform thumbnail -&gt; PROJECTS" display="Padel Booking Platform thumbnail" xr:uid="{00000000-0004-0000-0800-00000F000000}"/>
    <hyperlink ref="L18" location="#'PROJECTS'!A11" tooltip="Padel Booking Platform icon -&gt; PROJECTS" display="Padel Booking Platform icon" xr:uid="{00000000-0004-0000-0800-000010000000}"/>
    <hyperlink ref="L19" location="#'PROJECTS'!A12" tooltip="Twitch Live Analytics video -&gt; PROJECTS" display="Twitch Live Analytics video" xr:uid="{00000000-0004-0000-0800-000011000000}"/>
    <hyperlink ref="L20" location="#'PROJECTS'!A12" tooltip="Twitch Live Analytics thumbnail -&gt; PROJECTS" display="Twitch Live Analytics thumbnail" xr:uid="{00000000-0004-0000-0800-000012000000}"/>
    <hyperlink ref="L21" location="#'PROJECTS'!A12" tooltip="Twitch Live Analytics icon -&gt; PROJECTS" display="Twitch Live Analytics icon" xr:uid="{00000000-0004-0000-0800-000013000000}"/>
    <hyperlink ref="L22" location="#'PROJECTS'!A13" tooltip="Authorized USB Acquisition Lab video -&gt; PROJECTS" display="Authorized USB Acquisition Lab video" xr:uid="{00000000-0004-0000-0800-000014000000}"/>
    <hyperlink ref="L23" location="#'PROJECTS'!A13" tooltip="Authorized USB Acquisition Lab thumbnail -&gt; PROJECTS" display="Authorized USB Acquisition Lab thumbnail" xr:uid="{00000000-0004-0000-0800-000015000000}"/>
    <hyperlink ref="L24" location="#'PROJECTS'!A13" tooltip="Authorized USB Acquisition Lab icon -&gt; PROJECTS" display="Authorized USB Acquisition Lab icon" xr:uid="{00000000-0004-0000-0800-000016000000}"/>
    <hyperlink ref="L25" location="#'TESTIMONIALS'!A19" tooltip="automation-outstanding-work avatar -&gt; TESTIMONIALS" display="automation-outstanding-work avatar" xr:uid="{00000000-0004-0000-0800-000017000000}"/>
    <hyperlink ref="L26" location="#'TESTIMONIALS'!A12" tooltip="unity-great-work avatar -&gt; TESTIMONIALS" display="unity-great-work avatar" xr:uid="{00000000-0004-0000-0800-000018000000}"/>
    <hyperlink ref="L27" location="#'TESTIMONIALS'!A25" tooltip="automation-nice-guy avatar -&gt; TESTIMONIALS" display="automation-nice-guy avatar" xr:uid="{00000000-0004-0000-0800-000019000000}"/>
    <hyperlink ref="L28" location="#'TESTIMONIALS'!A21" tooltip="automation-wonderful-details avatar -&gt; TESTIMONIALS" display="automation-wonderful-details avatar" xr:uid="{00000000-0004-0000-0800-00001A000000}"/>
    <hyperlink ref="L29" location="#'TESTIMONIALS'!A15" tooltip="automation-seo-detail avatar -&gt; TESTIMONIALS" display="automation-seo-detail avatar" xr:uid="{00000000-0004-0000-0800-00001B000000}"/>
    <hyperlink ref="L30" location="#'TESTIMONIALS'!A23" tooltip="automation-fast-turnaround avatar -&gt; TESTIMONIALS" display="automation-fast-turnaround avatar" xr:uid="{00000000-0004-0000-0800-00001C000000}"/>
    <hyperlink ref="L31" location="#'TESTIMONIALS'!A22" tooltip="automation-vigor avatar -&gt; TESTIMONIALS" display="automation-vigor avatar" xr:uid="{00000000-0004-0000-0800-00001D000000}"/>
    <hyperlink ref="L32" location="#'TESTIMONIALS'!A9" tooltip="2 refs | unity-progress-communication avatar -&gt; TESTIMONIALS" display="2 refs | unity-progress-communication avatar" xr:uid="{00000000-0004-0000-0800-00001E000000}"/>
    <hyperlink ref="L35" location="#'TESTIMONIALS'!A24" tooltip="automation-highly-recommend avatar -&gt; TESTIMONIALS" display="automation-highly-recommend avatar" xr:uid="{00000000-0004-0000-0800-00001F000000}"/>
    <hyperlink ref="L36" location="#'TESTIMONIALS'!A16" tooltip="automation-exceeded-expectations avatar -&gt; TESTIMONIALS" display="automation-exceeded-expectations avatar" xr:uid="{00000000-0004-0000-0800-000020000000}"/>
    <hyperlink ref="L37" location="#'TESTIMONIALS'!A18" tooltip="automation-fiverr-credit avatar -&gt; TESTIMONIALS" display="automation-fiverr-credit avatar" xr:uid="{00000000-0004-0000-0800-000021000000}"/>
    <hyperlink ref="L38" location="#'TESTIMONIALS'!A20" tooltip="automation-communication-timelines avatar -&gt; TESTIMONIALS" display="automation-communication-timelines avatar" xr:uid="{00000000-0004-0000-0800-000022000000}"/>
    <hyperlink ref="L39" location="#'TESTIMONIALS'!A13" tooltip="unity-complex-ownership avatar -&gt; TESTIMONIALS" display="unity-complex-ownership avatar" xr:uid="{00000000-0004-0000-0800-000023000000}"/>
    <hyperlink ref="L40" location="#'TESTIMONIALS'!A10" tooltip="unity-fast-delivery avatar -&gt; TESTIMONIALS" display="unity-fast-delivery avatar" xr:uid="{00000000-0004-0000-0800-000024000000}"/>
    <hyperlink ref="L41" location="#'TESTIMONIALS'!A11" tooltip="unity-communication avatar -&gt; TESTIMONIALS" display="unity-communication avatar" xr:uid="{00000000-0004-0000-0800-000025000000}"/>
    <hyperlink ref="L42" location="#'TESTIMONIALS'!A14" tooltip="unity-repeat-client avatar -&gt; TESTIMONIALS" display="unity-repeat-client avatar" xr:uid="{00000000-0004-0000-0800-000026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B9:B54</xm:sqref>
        </x14:dataValidation>
        <x14:dataValidation type="list" allowBlank="1" xr:uid="{00000000-0002-0000-0800-000002000000}">
          <x14:formula1>
            <xm:f>_LOOKUPS!$D$2:$D$4</xm:f>
          </x14:formula1>
          <xm:sqref>C9:C54</xm:sqref>
        </x14:dataValidation>
        <x14:dataValidation type="list" allowBlank="1" xr:uid="{00000000-0002-0000-0800-000004000000}">
          <x14:formula1>
            <xm:f>_LOOKUPS!$A$2:$A$3</xm:f>
          </x14:formula1>
          <xm:sqref>H9:H54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5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88" t="s">
        <v>80</v>
      </c>
      <c r="B1" s="88"/>
      <c r="C1" s="88"/>
      <c r="D1" s="88"/>
      <c r="E1" s="88"/>
      <c r="F1" s="88"/>
      <c r="G1" s="88"/>
    </row>
    <row r="2" spans="1:7" ht="22.05" customHeight="1" x14ac:dyDescent="0.3">
      <c r="A2" s="89" t="s">
        <v>520</v>
      </c>
      <c r="B2" s="89"/>
      <c r="C2" s="89"/>
      <c r="D2" s="89"/>
      <c r="E2" s="89"/>
      <c r="F2" s="89"/>
      <c r="G2" s="89"/>
    </row>
    <row r="3" spans="1:7" ht="19.95" customHeight="1" x14ac:dyDescent="0.3">
      <c r="A3" s="99" t="s">
        <v>176</v>
      </c>
      <c r="B3" s="99"/>
      <c r="C3" s="99"/>
      <c r="D3" s="99"/>
      <c r="E3" s="99"/>
      <c r="F3" s="99"/>
      <c r="G3" s="99"/>
    </row>
    <row r="4" spans="1:7" ht="19.95" customHeight="1" x14ac:dyDescent="0.3">
      <c r="A4" s="1" t="s">
        <v>61</v>
      </c>
      <c r="B4" s="1" t="s">
        <v>177</v>
      </c>
      <c r="C4" s="1" t="s">
        <v>521</v>
      </c>
      <c r="D4" s="2"/>
      <c r="E4" s="2"/>
      <c r="F4" s="2"/>
      <c r="G4" s="2"/>
    </row>
    <row r="5" spans="1:7" ht="19.95" customHeight="1" x14ac:dyDescent="0.3">
      <c r="A5" s="43" t="s">
        <v>232</v>
      </c>
      <c r="B5" s="43"/>
      <c r="C5" s="43"/>
      <c r="D5" s="43"/>
      <c r="E5" s="43"/>
      <c r="F5" s="43"/>
      <c r="G5" s="43"/>
    </row>
    <row r="6" spans="1:7" ht="18" customHeight="1" x14ac:dyDescent="0.3">
      <c r="A6" s="10" t="s">
        <v>180</v>
      </c>
      <c r="B6" s="11" t="s">
        <v>181</v>
      </c>
      <c r="C6" s="12" t="s">
        <v>182</v>
      </c>
      <c r="D6" s="13" t="s">
        <v>183</v>
      </c>
      <c r="E6" s="2"/>
      <c r="F6" s="2"/>
      <c r="G6" s="2"/>
    </row>
    <row r="7" spans="1:7" ht="22.05" customHeight="1" x14ac:dyDescent="0.3">
      <c r="A7" s="95" t="s">
        <v>184</v>
      </c>
      <c r="B7" s="95"/>
      <c r="C7" s="95"/>
      <c r="D7" s="95"/>
      <c r="E7" s="95"/>
      <c r="F7" s="95"/>
      <c r="G7" s="95"/>
    </row>
    <row r="8" spans="1:7" ht="14.4" x14ac:dyDescent="0.3">
      <c r="A8" s="33" t="s">
        <v>404</v>
      </c>
      <c r="B8" s="33" t="s">
        <v>405</v>
      </c>
      <c r="C8" s="34" t="s">
        <v>522</v>
      </c>
      <c r="D8" s="33" t="s">
        <v>411</v>
      </c>
      <c r="E8" s="33" t="s">
        <v>414</v>
      </c>
      <c r="F8" s="33" t="s">
        <v>412</v>
      </c>
      <c r="G8" s="33" t="s">
        <v>413</v>
      </c>
    </row>
    <row r="9" spans="1:7" ht="85.95" customHeight="1" x14ac:dyDescent="0.3">
      <c r="A9" s="35" t="str">
        <f>IF(ASSETS!$A9="","",HYPERLINK("#'ASSETS'!A9",ASSETS!$A9))</f>
        <v>profile-avatar</v>
      </c>
      <c r="B9" s="36" t="str">
        <f>IF(ASSETS!$A9="","",UPPER(ASSETS!$B9))</f>
        <v>IMAGE</v>
      </c>
      <c r="C9" s="37" t="e">
        <f ca="1">IF(ASSETS!$A9="","",_xludf.IMAGE("http://127.0.0.1:5173/__dev/asset-preview"&amp;"?assetId="&amp;_xludf.ENCODEURL(ASSETS!$A9)&amp;"&amp;sig="&amp;_xludf.ENCODEURL(ASSETS!$B9&amp;"|"&amp;ASSETS!$C9&amp;"|"&amp;ASSETS!$D9&amp;"|"&amp;ASSETS!$E9&amp;"|"&amp;ASSETS!$H9),"Preview"))</f>
        <v>#NAME?</v>
      </c>
      <c r="D9" s="36" t="str">
        <f>IF(ASSETS!$A9="","",ASSETS!$I9)</f>
        <v>/assets/alberto.webp</v>
      </c>
      <c r="E9" s="36" t="str">
        <f>IF(ASSETS!$A9="","",ASSETS!$L9)</f>
        <v>Profile avatar</v>
      </c>
      <c r="F9" s="38" t="e">
        <f ca="1">IF(ASSETS!$A9="","",IF(UPPER(ASSETS!$H9)&lt;&gt;"TRUE","Disabled",HYPERLINK("http://127.0.0.1:5173/__dev/asset-source"&amp;"?assetId="&amp;_xludf.ENCODEURL(ASSETS!$A9)&amp;"&amp;sig="&amp;_xludf.ENCODEURL(ASSETS!$B9&amp;"|"&amp;ASSETS!$C9&amp;"|"&amp;ASSETS!$D9&amp;"|"&amp;ASSETS!$E9&amp;"|"&amp;ASSETS!$H9),"Open source")))</f>
        <v>#NAME?</v>
      </c>
      <c r="G9" s="38" t="e">
        <f ca="1">IF(ASSETS!$A9="","",IF(OR(UPPER(ASSETS!$H9)&lt;&gt;"TRUE",ASSETS!$I9=""),"Unavailable",HYPERLINK("http://127.0.0.1:5173/__dev/asset-resolved"&amp;"?assetId="&amp;_xludf.ENCODEURL(ASSETS!$A9)&amp;"&amp;sig="&amp;_xludf.ENCODEURL(ASSETS!$B9&amp;"|"&amp;ASSETS!$C9&amp;"|"&amp;ASSETS!$D9&amp;"|"&amp;ASSETS!$E9&amp;"|"&amp;ASSETS!$H9),"Open resolved")))</f>
        <v>#NAME?</v>
      </c>
    </row>
    <row r="10" spans="1:7" ht="85.95" customHeight="1" x14ac:dyDescent="0.3">
      <c r="A10" s="35" t="str">
        <f>IF(ASSETS!$A10="","",HYPERLINK("#'ASSETS'!A10",ASSETS!$A10))</f>
        <v>project-1-video</v>
      </c>
      <c r="B10" s="36" t="str">
        <f>IF(ASSETS!$A10="","",UPPER(ASSETS!$B10))</f>
        <v>VIDEO</v>
      </c>
      <c r="C10" s="37" t="e">
        <f ca="1">IF(ASSETS!$A10="","",_xludf.IMAGE("http://127.0.0.1:5173/__dev/asset-preview"&amp;"?assetId="&amp;_xludf.ENCODEURL(ASSETS!$A10)&amp;"&amp;sig="&amp;_xludf.ENCODEURL(ASSETS!$B10&amp;"|"&amp;ASSETS!$C10&amp;"|"&amp;ASSETS!$D10&amp;"|"&amp;ASSETS!$E10&amp;"|"&amp;ASSETS!$H10),"Preview"))</f>
        <v>#NAME?</v>
      </c>
      <c r="D10" s="36" t="str">
        <f>IF(ASSETS!$A10="","",ASSETS!$I10)</f>
        <v>/assets/projects/visual-interfaces.mp4</v>
      </c>
      <c r="E10" s="36" t="str">
        <f>IF(ASSETS!$A10="","",ASSETS!$L10)</f>
        <v>Unity Interface Systems video</v>
      </c>
      <c r="F10" s="38" t="e">
        <f ca="1">IF(ASSETS!$A10="","",IF(UPPER(ASSETS!$H10)&lt;&gt;"TRUE","Disabled",HYPERLINK("http://127.0.0.1:5173/__dev/asset-source"&amp;"?assetId="&amp;_xludf.ENCODEURL(ASSETS!$A10)&amp;"&amp;sig="&amp;_xludf.ENCODEURL(ASSETS!$B10&amp;"|"&amp;ASSETS!$C10&amp;"|"&amp;ASSETS!$D10&amp;"|"&amp;ASSETS!$E10&amp;"|"&amp;ASSETS!$H10),"Open source")))</f>
        <v>#NAME?</v>
      </c>
      <c r="G10" s="38" t="e">
        <f ca="1">IF(ASSETS!$A10="","",IF(OR(UPPER(ASSETS!$H10)&lt;&gt;"TRUE",ASSETS!$I10=""),"Unavailable",HYPERLINK("http://127.0.0.1:5173/__dev/asset-resolved"&amp;"?assetId="&amp;_xludf.ENCODEURL(ASSETS!$A10)&amp;"&amp;sig="&amp;_xludf.ENCODEURL(ASSETS!$B10&amp;"|"&amp;ASSETS!$C10&amp;"|"&amp;ASSETS!$D10&amp;"|"&amp;ASSETS!$E10&amp;"|"&amp;ASSETS!$H10),"Open resolved")))</f>
        <v>#NAME?</v>
      </c>
    </row>
    <row r="11" spans="1:7" ht="85.95" customHeight="1" x14ac:dyDescent="0.3">
      <c r="A11" s="35" t="str">
        <f>IF(ASSETS!$A11="","",HYPERLINK("#'ASSETS'!A11",ASSETS!$A11))</f>
        <v>project-1-thumbnail</v>
      </c>
      <c r="B11" s="36" t="str">
        <f>IF(ASSETS!$A11="","",UPPER(ASSETS!$B11))</f>
        <v>IMAGE</v>
      </c>
      <c r="C11" s="37" t="e">
        <f ca="1">IF(ASSETS!$A11="","",_xludf.IMAGE("http://127.0.0.1:5173/__dev/asset-preview"&amp;"?assetId="&amp;_xludf.ENCODEURL(ASSETS!$A11)&amp;"&amp;sig="&amp;_xludf.ENCODEURL(ASSETS!$B11&amp;"|"&amp;ASSETS!$C11&amp;"|"&amp;ASSETS!$D11&amp;"|"&amp;ASSETS!$E11&amp;"|"&amp;ASSETS!$H11),"Preview"))</f>
        <v>#NAME?</v>
      </c>
      <c r="D11" s="36" t="str">
        <f>IF(ASSETS!$A11="","",ASSETS!$I11)</f>
        <v>/assets/projects/visual-interfaces.png</v>
      </c>
      <c r="E11" s="36" t="str">
        <f>IF(ASSETS!$A11="","",ASSETS!$L11)</f>
        <v>Unity Interface Systems thumbnail</v>
      </c>
      <c r="F11" s="38" t="e">
        <f ca="1">IF(ASSETS!$A11="","",IF(UPPER(ASSETS!$H11)&lt;&gt;"TRUE","Disabled",HYPERLINK("http://127.0.0.1:5173/__dev/asset-source"&amp;"?assetId="&amp;_xludf.ENCODEURL(ASSETS!$A11)&amp;"&amp;sig="&amp;_xludf.ENCODEURL(ASSETS!$B11&amp;"|"&amp;ASSETS!$C11&amp;"|"&amp;ASSETS!$D11&amp;"|"&amp;ASSETS!$E11&amp;"|"&amp;ASSETS!$H11),"Open source")))</f>
        <v>#NAME?</v>
      </c>
      <c r="G11" s="38" t="e">
        <f ca="1">IF(ASSETS!$A11="","",IF(OR(UPPER(ASSETS!$H11)&lt;&gt;"TRUE",ASSETS!$I11=""),"Unavailable",HYPERLINK("http://127.0.0.1:5173/__dev/asset-resolved"&amp;"?assetId="&amp;_xludf.ENCODEURL(ASSETS!$A11)&amp;"&amp;sig="&amp;_xludf.ENCODEURL(ASSETS!$B11&amp;"|"&amp;ASSETS!$C11&amp;"|"&amp;ASSETS!$D11&amp;"|"&amp;ASSETS!$E11&amp;"|"&amp;ASSETS!$H11),"Open resolved")))</f>
        <v>#NAME?</v>
      </c>
    </row>
    <row r="12" spans="1:7" ht="85.95" customHeight="1" x14ac:dyDescent="0.3">
      <c r="A12" s="35" t="str">
        <f>IF(ASSETS!$A12="","",HYPERLINK("#'ASSETS'!A12",ASSETS!$A12))</f>
        <v>project-1-icon</v>
      </c>
      <c r="B12" s="36" t="str">
        <f>IF(ASSETS!$A12="","",UPPER(ASSETS!$B12))</f>
        <v>ICON</v>
      </c>
      <c r="C12" s="37" t="e">
        <f ca="1">IF(ASSETS!$A12="","",_xludf.IMAGE("http://127.0.0.1:5173/__dev/asset-preview"&amp;"?assetId="&amp;_xludf.ENCODEURL(ASSETS!$A12)&amp;"&amp;sig="&amp;_xludf.ENCODEURL(ASSETS!$B12&amp;"|"&amp;ASSETS!$C12&amp;"|"&amp;ASSETS!$D12&amp;"|"&amp;ASSETS!$E12&amp;"|"&amp;ASSETS!$H12),"Preview"))</f>
        <v>#NAME?</v>
      </c>
      <c r="D12" s="36" t="str">
        <f>IF(ASSETS!$A12="","",ASSETS!$I12)</f>
        <v>/assets/projects/unity.webp</v>
      </c>
      <c r="E12" s="36" t="str">
        <f>IF(ASSETS!$A12="","",ASSETS!$L12)</f>
        <v>Unity Interface Systems icon</v>
      </c>
      <c r="F12" s="38" t="e">
        <f ca="1">IF(ASSETS!$A12="","",IF(UPPER(ASSETS!$H12)&lt;&gt;"TRUE","Disabled",HYPERLINK("http://127.0.0.1:5173/__dev/asset-source"&amp;"?assetId="&amp;_xludf.ENCODEURL(ASSETS!$A12)&amp;"&amp;sig="&amp;_xludf.ENCODEURL(ASSETS!$B12&amp;"|"&amp;ASSETS!$C12&amp;"|"&amp;ASSETS!$D12&amp;"|"&amp;ASSETS!$E12&amp;"|"&amp;ASSETS!$H12),"Open source")))</f>
        <v>#NAME?</v>
      </c>
      <c r="G12" s="38" t="e">
        <f ca="1">IF(ASSETS!$A12="","",IF(OR(UPPER(ASSETS!$H12)&lt;&gt;"TRUE",ASSETS!$I12=""),"Unavailable",HYPERLINK("http://127.0.0.1:5173/__dev/asset-resolved"&amp;"?assetId="&amp;_xludf.ENCODEURL(ASSETS!$A12)&amp;"&amp;sig="&amp;_xludf.ENCODEURL(ASSETS!$B12&amp;"|"&amp;ASSETS!$C12&amp;"|"&amp;ASSETS!$D12&amp;"|"&amp;ASSETS!$E12&amp;"|"&amp;ASSETS!$H12),"Open resolved")))</f>
        <v>#NAME?</v>
      </c>
    </row>
    <row r="13" spans="1:7" ht="85.95" customHeight="1" x14ac:dyDescent="0.3">
      <c r="A13" s="35" t="str">
        <f>IF(ASSETS!$A13="","",HYPERLINK("#'ASSETS'!A13",ASSETS!$A13))</f>
        <v>project-2-video</v>
      </c>
      <c r="B13" s="36" t="str">
        <f>IF(ASSETS!$A13="","",UPPER(ASSETS!$B13))</f>
        <v>VIDEO</v>
      </c>
      <c r="C13" s="37" t="e">
        <f ca="1">IF(ASSETS!$A13="","",_xludf.IMAGE("http://127.0.0.1:5173/__dev/asset-preview"&amp;"?assetId="&amp;_xludf.ENCODEURL(ASSETS!$A13)&amp;"&amp;sig="&amp;_xludf.ENCODEURL(ASSETS!$B13&amp;"|"&amp;ASSETS!$C13&amp;"|"&amp;ASSETS!$D13&amp;"|"&amp;ASSETS!$E13&amp;"|"&amp;ASSETS!$H13),"Preview"))</f>
        <v>#NAME?</v>
      </c>
      <c r="D13" s="36" t="str">
        <f>IF(ASSETS!$A13="","",ASSETS!$I13)</f>
        <v>/assets/projects/zero-touch-ai.mp4</v>
      </c>
      <c r="E13" s="36" t="str">
        <f>IF(ASSETS!$A13="","",ASSETS!$L13)</f>
        <v>Smart Inbox Manager video</v>
      </c>
      <c r="F13" s="38" t="e">
        <f ca="1">IF(ASSETS!$A13="","",IF(UPPER(ASSETS!$H13)&lt;&gt;"TRUE","Disabled",HYPERLINK("http://127.0.0.1:5173/__dev/asset-source"&amp;"?assetId="&amp;_xludf.ENCODEURL(ASSETS!$A13)&amp;"&amp;sig="&amp;_xludf.ENCODEURL(ASSETS!$B13&amp;"|"&amp;ASSETS!$C13&amp;"|"&amp;ASSETS!$D13&amp;"|"&amp;ASSETS!$E13&amp;"|"&amp;ASSETS!$H13),"Open source")))</f>
        <v>#NAME?</v>
      </c>
      <c r="G13" s="38" t="e">
        <f ca="1">IF(ASSETS!$A13="","",IF(OR(UPPER(ASSETS!$H13)&lt;&gt;"TRUE",ASSETS!$I13=""),"Unavailable",HYPERLINK("http://127.0.0.1:5173/__dev/asset-resolved"&amp;"?assetId="&amp;_xludf.ENCODEURL(ASSETS!$A13)&amp;"&amp;sig="&amp;_xludf.ENCODEURL(ASSETS!$B13&amp;"|"&amp;ASSETS!$C13&amp;"|"&amp;ASSETS!$D13&amp;"|"&amp;ASSETS!$E13&amp;"|"&amp;ASSETS!$H13),"Open resolved")))</f>
        <v>#NAME?</v>
      </c>
    </row>
    <row r="14" spans="1:7" ht="85.95" customHeight="1" x14ac:dyDescent="0.3">
      <c r="A14" s="35" t="str">
        <f>IF(ASSETS!$A14="","",HYPERLINK("#'ASSETS'!A14",ASSETS!$A14))</f>
        <v>project-2-thumbnail</v>
      </c>
      <c r="B14" s="36" t="str">
        <f>IF(ASSETS!$A14="","",UPPER(ASSETS!$B14))</f>
        <v>IMAGE</v>
      </c>
      <c r="C14" s="37" t="e">
        <f ca="1">IF(ASSETS!$A14="","",_xludf.IMAGE("http://127.0.0.1:5173/__dev/asset-preview"&amp;"?assetId="&amp;_xludf.ENCODEURL(ASSETS!$A14)&amp;"&amp;sig="&amp;_xludf.ENCODEURL(ASSETS!$B14&amp;"|"&amp;ASSETS!$C14&amp;"|"&amp;ASSETS!$D14&amp;"|"&amp;ASSETS!$E14&amp;"|"&amp;ASSETS!$H14),"Preview"))</f>
        <v>#NAME?</v>
      </c>
      <c r="D14" s="36" t="str">
        <f>IF(ASSETS!$A14="","",ASSETS!$I14)</f>
        <v>/assets/projects/zero-touch-ai.png</v>
      </c>
      <c r="E14" s="36" t="str">
        <f>IF(ASSETS!$A14="","",ASSETS!$L14)</f>
        <v>Smart Inbox Manager thumbnail</v>
      </c>
      <c r="F14" s="38" t="e">
        <f ca="1">IF(ASSETS!$A14="","",IF(UPPER(ASSETS!$H14)&lt;&gt;"TRUE","Disabled",HYPERLINK("http://127.0.0.1:5173/__dev/asset-source"&amp;"?assetId="&amp;_xludf.ENCODEURL(ASSETS!$A14)&amp;"&amp;sig="&amp;_xludf.ENCODEURL(ASSETS!$B14&amp;"|"&amp;ASSETS!$C14&amp;"|"&amp;ASSETS!$D14&amp;"|"&amp;ASSETS!$E14&amp;"|"&amp;ASSETS!$H14),"Open source")))</f>
        <v>#NAME?</v>
      </c>
      <c r="G14" s="38" t="e">
        <f ca="1">IF(ASSETS!$A14="","",IF(OR(UPPER(ASSETS!$H14)&lt;&gt;"TRUE",ASSETS!$I14=""),"Unavailable",HYPERLINK("http://127.0.0.1:5173/__dev/asset-resolved"&amp;"?assetId="&amp;_xludf.ENCODEURL(ASSETS!$A14)&amp;"&amp;sig="&amp;_xludf.ENCODEURL(ASSETS!$B14&amp;"|"&amp;ASSETS!$C14&amp;"|"&amp;ASSETS!$D14&amp;"|"&amp;ASSETS!$E14&amp;"|"&amp;ASSETS!$H14),"Open resolved")))</f>
        <v>#NAME?</v>
      </c>
    </row>
    <row r="15" spans="1:7" ht="85.95" customHeight="1" x14ac:dyDescent="0.3">
      <c r="A15" s="35" t="str">
        <f>IF(ASSETS!$A15="","",HYPERLINK("#'ASSETS'!A15",ASSETS!$A15))</f>
        <v>project-2-icon</v>
      </c>
      <c r="B15" s="36" t="str">
        <f>IF(ASSETS!$A15="","",UPPER(ASSETS!$B15))</f>
        <v>ICON</v>
      </c>
      <c r="C15" s="37" t="e">
        <f ca="1">IF(ASSETS!$A15="","",_xludf.IMAGE("http://127.0.0.1:5173/__dev/asset-preview"&amp;"?assetId="&amp;_xludf.ENCODEURL(ASSETS!$A15)&amp;"&amp;sig="&amp;_xludf.ENCODEURL(ASSETS!$B15&amp;"|"&amp;ASSETS!$C15&amp;"|"&amp;ASSETS!$D15&amp;"|"&amp;ASSETS!$E15&amp;"|"&amp;ASSETS!$H15),"Preview"))</f>
        <v>#NAME?</v>
      </c>
      <c r="D15" s="36" t="str">
        <f>IF(ASSETS!$A15="","",ASSETS!$I15)</f>
        <v>/assets/projects/outlook-icon.webp</v>
      </c>
      <c r="E15" s="36" t="str">
        <f>IF(ASSETS!$A15="","",ASSETS!$L15)</f>
        <v>Smart Inbox Manager icon</v>
      </c>
      <c r="F15" s="38" t="e">
        <f ca="1">IF(ASSETS!$A15="","",IF(UPPER(ASSETS!$H15)&lt;&gt;"TRUE","Disabled",HYPERLINK("http://127.0.0.1:5173/__dev/asset-source"&amp;"?assetId="&amp;_xludf.ENCODEURL(ASSETS!$A15)&amp;"&amp;sig="&amp;_xludf.ENCODEURL(ASSETS!$B15&amp;"|"&amp;ASSETS!$C15&amp;"|"&amp;ASSETS!$D15&amp;"|"&amp;ASSETS!$E15&amp;"|"&amp;ASSETS!$H15),"Open source")))</f>
        <v>#NAME?</v>
      </c>
      <c r="G15" s="38" t="e">
        <f ca="1">IF(ASSETS!$A15="","",IF(OR(UPPER(ASSETS!$H15)&lt;&gt;"TRUE",ASSETS!$I15=""),"Unavailable",HYPERLINK("http://127.0.0.1:5173/__dev/asset-resolved"&amp;"?assetId="&amp;_xludf.ENCODEURL(ASSETS!$A15)&amp;"&amp;sig="&amp;_xludf.ENCODEURL(ASSETS!$B15&amp;"|"&amp;ASSETS!$C15&amp;"|"&amp;ASSETS!$D15&amp;"|"&amp;ASSETS!$E15&amp;"|"&amp;ASSETS!$H15),"Open resolved")))</f>
        <v>#NAME?</v>
      </c>
    </row>
    <row r="16" spans="1:7" ht="85.95" customHeight="1" x14ac:dyDescent="0.3">
      <c r="A16" s="35" t="str">
        <f>IF(ASSETS!$A16="","",HYPERLINK("#'ASSETS'!A16",ASSETS!$A16))</f>
        <v>project-3-video</v>
      </c>
      <c r="B16" s="36" t="str">
        <f>IF(ASSETS!$A16="","",UPPER(ASSETS!$B16))</f>
        <v>VIDEO</v>
      </c>
      <c r="C16" s="37" t="e">
        <f ca="1">IF(ASSETS!$A16="","",_xludf.IMAGE("http://127.0.0.1:5173/__dev/asset-preview"&amp;"?assetId="&amp;_xludf.ENCODEURL(ASSETS!$A16)&amp;"&amp;sig="&amp;_xludf.ENCODEURL(ASSETS!$B16&amp;"|"&amp;ASSETS!$C16&amp;"|"&amp;ASSETS!$D16&amp;"|"&amp;ASSETS!$E16&amp;"|"&amp;ASSETS!$H16),"Preview"))</f>
        <v>#NAME?</v>
      </c>
      <c r="D16" s="36" t="str">
        <f>IF(ASSETS!$A16="","",ASSETS!$I16)</f>
        <v>/assets/projects/padel-booking.mp4</v>
      </c>
      <c r="E16" s="36" t="str">
        <f>IF(ASSETS!$A16="","",ASSETS!$L16)</f>
        <v>Padel Booking Platform video</v>
      </c>
      <c r="F16" s="38" t="e">
        <f ca="1">IF(ASSETS!$A16="","",IF(UPPER(ASSETS!$H16)&lt;&gt;"TRUE","Disabled",HYPERLINK("http://127.0.0.1:5173/__dev/asset-source"&amp;"?assetId="&amp;_xludf.ENCODEURL(ASSETS!$A16)&amp;"&amp;sig="&amp;_xludf.ENCODEURL(ASSETS!$B16&amp;"|"&amp;ASSETS!$C16&amp;"|"&amp;ASSETS!$D16&amp;"|"&amp;ASSETS!$E16&amp;"|"&amp;ASSETS!$H16),"Open source")))</f>
        <v>#NAME?</v>
      </c>
      <c r="G16" s="38" t="e">
        <f ca="1">IF(ASSETS!$A16="","",IF(OR(UPPER(ASSETS!$H16)&lt;&gt;"TRUE",ASSETS!$I16=""),"Unavailable",HYPERLINK("http://127.0.0.1:5173/__dev/asset-resolved"&amp;"?assetId="&amp;_xludf.ENCODEURL(ASSETS!$A16)&amp;"&amp;sig="&amp;_xludf.ENCODEURL(ASSETS!$B16&amp;"|"&amp;ASSETS!$C16&amp;"|"&amp;ASSETS!$D16&amp;"|"&amp;ASSETS!$E16&amp;"|"&amp;ASSETS!$H16),"Open resolved")))</f>
        <v>#NAME?</v>
      </c>
    </row>
    <row r="17" spans="1:7" ht="85.95" customHeight="1" x14ac:dyDescent="0.3">
      <c r="A17" s="35" t="str">
        <f>IF(ASSETS!$A17="","",HYPERLINK("#'ASSETS'!A17",ASSETS!$A17))</f>
        <v>project-3-thumbnail</v>
      </c>
      <c r="B17" s="36" t="str">
        <f>IF(ASSETS!$A17="","",UPPER(ASSETS!$B17))</f>
        <v>IMAGE</v>
      </c>
      <c r="C17" s="37" t="e">
        <f ca="1">IF(ASSETS!$A17="","",_xludf.IMAGE("http://127.0.0.1:5173/__dev/asset-preview"&amp;"?assetId="&amp;_xludf.ENCODEURL(ASSETS!$A17)&amp;"&amp;sig="&amp;_xludf.ENCODEURL(ASSETS!$B17&amp;"|"&amp;ASSETS!$C17&amp;"|"&amp;ASSETS!$D17&amp;"|"&amp;ASSETS!$E17&amp;"|"&amp;ASSETS!$H17),"Preview"))</f>
        <v>#NAME?</v>
      </c>
      <c r="D17" s="36" t="str">
        <f>IF(ASSETS!$A17="","",ASSETS!$I17)</f>
        <v>/assets/projects/padel-booking.png</v>
      </c>
      <c r="E17" s="36" t="str">
        <f>IF(ASSETS!$A17="","",ASSETS!$L17)</f>
        <v>Padel Booking Platform thumbnail</v>
      </c>
      <c r="F17" s="38" t="e">
        <f ca="1">IF(ASSETS!$A17="","",IF(UPPER(ASSETS!$H17)&lt;&gt;"TRUE","Disabled",HYPERLINK("http://127.0.0.1:5173/__dev/asset-source"&amp;"?assetId="&amp;_xludf.ENCODEURL(ASSETS!$A17)&amp;"&amp;sig="&amp;_xludf.ENCODEURL(ASSETS!$B17&amp;"|"&amp;ASSETS!$C17&amp;"|"&amp;ASSETS!$D17&amp;"|"&amp;ASSETS!$E17&amp;"|"&amp;ASSETS!$H17),"Open source")))</f>
        <v>#NAME?</v>
      </c>
      <c r="G17" s="38" t="e">
        <f ca="1">IF(ASSETS!$A17="","",IF(OR(UPPER(ASSETS!$H17)&lt;&gt;"TRUE",ASSETS!$I17=""),"Unavailable",HYPERLINK("http://127.0.0.1:5173/__dev/asset-resolved"&amp;"?assetId="&amp;_xludf.ENCODEURL(ASSETS!$A17)&amp;"&amp;sig="&amp;_xludf.ENCODEURL(ASSETS!$B17&amp;"|"&amp;ASSETS!$C17&amp;"|"&amp;ASSETS!$D17&amp;"|"&amp;ASSETS!$E17&amp;"|"&amp;ASSETS!$H17),"Open resolved")))</f>
        <v>#NAME?</v>
      </c>
    </row>
    <row r="18" spans="1:7" ht="85.95" customHeight="1" x14ac:dyDescent="0.3">
      <c r="A18" s="35" t="str">
        <f>IF(ASSETS!$A18="","",HYPERLINK("#'ASSETS'!A18",ASSETS!$A18))</f>
        <v>project-3-icon</v>
      </c>
      <c r="B18" s="36" t="str">
        <f>IF(ASSETS!$A18="","",UPPER(ASSETS!$B18))</f>
        <v>ICON</v>
      </c>
      <c r="C18" s="37" t="e">
        <f ca="1">IF(ASSETS!$A18="","",_xludf.IMAGE("http://127.0.0.1:5173/__dev/asset-preview"&amp;"?assetId="&amp;_xludf.ENCODEURL(ASSETS!$A18)&amp;"&amp;sig="&amp;_xludf.ENCODEURL(ASSETS!$B18&amp;"|"&amp;ASSETS!$C18&amp;"|"&amp;ASSETS!$D18&amp;"|"&amp;ASSETS!$E18&amp;"|"&amp;ASSETS!$H18),"Preview"))</f>
        <v>#NAME?</v>
      </c>
      <c r="D18" s="36" t="str">
        <f>IF(ASSETS!$A18="","",ASSETS!$I18)</f>
        <v>/assets/projects/padel-booking-logo.png</v>
      </c>
      <c r="E18" s="36" t="str">
        <f>IF(ASSETS!$A18="","",ASSETS!$L18)</f>
        <v>Padel Booking Platform icon</v>
      </c>
      <c r="F18" s="38" t="e">
        <f ca="1">IF(ASSETS!$A18="","",IF(UPPER(ASSETS!$H18)&lt;&gt;"TRUE","Disabled",HYPERLINK("http://127.0.0.1:5173/__dev/asset-source"&amp;"?assetId="&amp;_xludf.ENCODEURL(ASSETS!$A18)&amp;"&amp;sig="&amp;_xludf.ENCODEURL(ASSETS!$B18&amp;"|"&amp;ASSETS!$C18&amp;"|"&amp;ASSETS!$D18&amp;"|"&amp;ASSETS!$E18&amp;"|"&amp;ASSETS!$H18),"Open source")))</f>
        <v>#NAME?</v>
      </c>
      <c r="G18" s="38" t="e">
        <f ca="1">IF(ASSETS!$A18="","",IF(OR(UPPER(ASSETS!$H18)&lt;&gt;"TRUE",ASSETS!$I18=""),"Unavailable",HYPERLINK("http://127.0.0.1:5173/__dev/asset-resolved"&amp;"?assetId="&amp;_xludf.ENCODEURL(ASSETS!$A18)&amp;"&amp;sig="&amp;_xludf.ENCODEURL(ASSETS!$B18&amp;"|"&amp;ASSETS!$C18&amp;"|"&amp;ASSETS!$D18&amp;"|"&amp;ASSETS!$E18&amp;"|"&amp;ASSETS!$H18),"Open resolved")))</f>
        <v>#NAME?</v>
      </c>
    </row>
    <row r="19" spans="1:7" ht="85.95" customHeight="1" x14ac:dyDescent="0.3">
      <c r="A19" s="35" t="str">
        <f>IF(ASSETS!$A19="","",HYPERLINK("#'ASSETS'!A19",ASSETS!$A19))</f>
        <v>project-4-video</v>
      </c>
      <c r="B19" s="36" t="str">
        <f>IF(ASSETS!$A19="","",UPPER(ASSETS!$B19))</f>
        <v>VIDEO</v>
      </c>
      <c r="C19" s="37" t="e">
        <f ca="1">IF(ASSETS!$A19="","",_xludf.IMAGE("http://127.0.0.1:5173/__dev/asset-preview"&amp;"?assetId="&amp;_xludf.ENCODEURL(ASSETS!$A19)&amp;"&amp;sig="&amp;_xludf.ENCODEURL(ASSETS!$B19&amp;"|"&amp;ASSETS!$C19&amp;"|"&amp;ASSETS!$D19&amp;"|"&amp;ASSETS!$E19&amp;"|"&amp;ASSETS!$H19),"Preview"))</f>
        <v>#NAME?</v>
      </c>
      <c r="D19" s="36" t="str">
        <f>IF(ASSETS!$A19="","",ASSETS!$I19)</f>
        <v>/assets/projects/twitch-live.mp4</v>
      </c>
      <c r="E19" s="36" t="str">
        <f>IF(ASSETS!$A19="","",ASSETS!$L19)</f>
        <v>Twitch Live Analytics video</v>
      </c>
      <c r="F19" s="38" t="e">
        <f ca="1">IF(ASSETS!$A19="","",IF(UPPER(ASSETS!$H19)&lt;&gt;"TRUE","Disabled",HYPERLINK("http://127.0.0.1:5173/__dev/asset-source"&amp;"?assetId="&amp;_xludf.ENCODEURL(ASSETS!$A19)&amp;"&amp;sig="&amp;_xludf.ENCODEURL(ASSETS!$B19&amp;"|"&amp;ASSETS!$C19&amp;"|"&amp;ASSETS!$D19&amp;"|"&amp;ASSETS!$E19&amp;"|"&amp;ASSETS!$H19),"Open source")))</f>
        <v>#NAME?</v>
      </c>
      <c r="G19" s="38" t="e">
        <f ca="1">IF(ASSETS!$A19="","",IF(OR(UPPER(ASSETS!$H19)&lt;&gt;"TRUE",ASSETS!$I19=""),"Unavailable",HYPERLINK("http://127.0.0.1:5173/__dev/asset-resolved"&amp;"?assetId="&amp;_xludf.ENCODEURL(ASSETS!$A19)&amp;"&amp;sig="&amp;_xludf.ENCODEURL(ASSETS!$B19&amp;"|"&amp;ASSETS!$C19&amp;"|"&amp;ASSETS!$D19&amp;"|"&amp;ASSETS!$E19&amp;"|"&amp;ASSETS!$H19),"Open resolved")))</f>
        <v>#NAME?</v>
      </c>
    </row>
    <row r="20" spans="1:7" ht="85.95" customHeight="1" x14ac:dyDescent="0.3">
      <c r="A20" s="35" t="str">
        <f>IF(ASSETS!$A20="","",HYPERLINK("#'ASSETS'!A20",ASSETS!$A20))</f>
        <v>project-4-thumbnail</v>
      </c>
      <c r="B20" s="36" t="str">
        <f>IF(ASSETS!$A20="","",UPPER(ASSETS!$B20))</f>
        <v>IMAGE</v>
      </c>
      <c r="C20" s="37" t="e">
        <f ca="1">IF(ASSETS!$A20="","",_xludf.IMAGE("http://127.0.0.1:5173/__dev/asset-preview"&amp;"?assetId="&amp;_xludf.ENCODEURL(ASSETS!$A20)&amp;"&amp;sig="&amp;_xludf.ENCODEURL(ASSETS!$B20&amp;"|"&amp;ASSETS!$C20&amp;"|"&amp;ASSETS!$D20&amp;"|"&amp;ASSETS!$E20&amp;"|"&amp;ASSETS!$H20),"Preview"))</f>
        <v>#NAME?</v>
      </c>
      <c r="D20" s="36" t="str">
        <f>IF(ASSETS!$A20="","",ASSETS!$I20)</f>
        <v>/assets/projects/twitch-live.png</v>
      </c>
      <c r="E20" s="36" t="str">
        <f>IF(ASSETS!$A20="","",ASSETS!$L20)</f>
        <v>Twitch Live Analytics thumbnail</v>
      </c>
      <c r="F20" s="38" t="e">
        <f ca="1">IF(ASSETS!$A20="","",IF(UPPER(ASSETS!$H20)&lt;&gt;"TRUE","Disabled",HYPERLINK("http://127.0.0.1:5173/__dev/asset-source"&amp;"?assetId="&amp;_xludf.ENCODEURL(ASSETS!$A20)&amp;"&amp;sig="&amp;_xludf.ENCODEURL(ASSETS!$B20&amp;"|"&amp;ASSETS!$C20&amp;"|"&amp;ASSETS!$D20&amp;"|"&amp;ASSETS!$E20&amp;"|"&amp;ASSETS!$H20),"Open source")))</f>
        <v>#NAME?</v>
      </c>
      <c r="G20" s="38" t="e">
        <f ca="1">IF(ASSETS!$A20="","",IF(OR(UPPER(ASSETS!$H20)&lt;&gt;"TRUE",ASSETS!$I20=""),"Unavailable",HYPERLINK("http://127.0.0.1:5173/__dev/asset-resolved"&amp;"?assetId="&amp;_xludf.ENCODEURL(ASSETS!$A20)&amp;"&amp;sig="&amp;_xludf.ENCODEURL(ASSETS!$B20&amp;"|"&amp;ASSETS!$C20&amp;"|"&amp;ASSETS!$D20&amp;"|"&amp;ASSETS!$E20&amp;"|"&amp;ASSETS!$H20),"Open resolved")))</f>
        <v>#NAME?</v>
      </c>
    </row>
    <row r="21" spans="1:7" ht="85.95" customHeight="1" x14ac:dyDescent="0.3">
      <c r="A21" s="35" t="str">
        <f>IF(ASSETS!$A21="","",HYPERLINK("#'ASSETS'!A21",ASSETS!$A21))</f>
        <v>project-4-icon</v>
      </c>
      <c r="B21" s="36" t="str">
        <f>IF(ASSETS!$A21="","",UPPER(ASSETS!$B21))</f>
        <v>ICON</v>
      </c>
      <c r="C21" s="37" t="e">
        <f ca="1">IF(ASSETS!$A21="","",_xludf.IMAGE("http://127.0.0.1:5173/__dev/asset-preview"&amp;"?assetId="&amp;_xludf.ENCODEURL(ASSETS!$A21)&amp;"&amp;sig="&amp;_xludf.ENCODEURL(ASSETS!$B21&amp;"|"&amp;ASSETS!$C21&amp;"|"&amp;ASSETS!$D21&amp;"|"&amp;ASSETS!$E21&amp;"|"&amp;ASSETS!$H21),"Preview"))</f>
        <v>#NAME?</v>
      </c>
      <c r="D21" s="36" t="str">
        <f>IF(ASSETS!$A21="","",ASSETS!$I21)</f>
        <v>/assets/projects/twitch-icon.webp</v>
      </c>
      <c r="E21" s="36" t="str">
        <f>IF(ASSETS!$A21="","",ASSETS!$L21)</f>
        <v>Twitch Live Analytics icon</v>
      </c>
      <c r="F21" s="38" t="e">
        <f ca="1">IF(ASSETS!$A21="","",IF(UPPER(ASSETS!$H21)&lt;&gt;"TRUE","Disabled",HYPERLINK("http://127.0.0.1:5173/__dev/asset-source"&amp;"?assetId="&amp;_xludf.ENCODEURL(ASSETS!$A21)&amp;"&amp;sig="&amp;_xludf.ENCODEURL(ASSETS!$B21&amp;"|"&amp;ASSETS!$C21&amp;"|"&amp;ASSETS!$D21&amp;"|"&amp;ASSETS!$E21&amp;"|"&amp;ASSETS!$H21),"Open source")))</f>
        <v>#NAME?</v>
      </c>
      <c r="G21" s="38" t="e">
        <f ca="1">IF(ASSETS!$A21="","",IF(OR(UPPER(ASSETS!$H21)&lt;&gt;"TRUE",ASSETS!$I21=""),"Unavailable",HYPERLINK("http://127.0.0.1:5173/__dev/asset-resolved"&amp;"?assetId="&amp;_xludf.ENCODEURL(ASSETS!$A21)&amp;"&amp;sig="&amp;_xludf.ENCODEURL(ASSETS!$B21&amp;"|"&amp;ASSETS!$C21&amp;"|"&amp;ASSETS!$D21&amp;"|"&amp;ASSETS!$E21&amp;"|"&amp;ASSETS!$H21),"Open resolved")))</f>
        <v>#NAME?</v>
      </c>
    </row>
    <row r="22" spans="1:7" ht="85.95" customHeight="1" x14ac:dyDescent="0.3">
      <c r="A22" s="35" t="str">
        <f>IF(ASSETS!$A22="","",HYPERLINK("#'ASSETS'!A22",ASSETS!$A22))</f>
        <v>project-5-video</v>
      </c>
      <c r="B22" s="36" t="str">
        <f>IF(ASSETS!$A22="","",UPPER(ASSETS!$B22))</f>
        <v>VIDEO</v>
      </c>
      <c r="C22" s="37" t="e">
        <f ca="1">IF(ASSETS!$A22="","",_xludf.IMAGE("http://127.0.0.1:5173/__dev/asset-preview"&amp;"?assetId="&amp;_xludf.ENCODEURL(ASSETS!$A22)&amp;"&amp;sig="&amp;_xludf.ENCODEURL(ASSETS!$B22&amp;"|"&amp;ASSETS!$C22&amp;"|"&amp;ASSETS!$D22&amp;"|"&amp;ASSETS!$E22&amp;"|"&amp;ASSETS!$H22),"Preview"))</f>
        <v>#NAME?</v>
      </c>
      <c r="D22" s="36" t="str">
        <f>IF(ASSETS!$A22="","",ASSETS!$I22)</f>
        <v>/assets/projects/usb-extraction.mp4</v>
      </c>
      <c r="E22" s="36" t="str">
        <f>IF(ASSETS!$A22="","",ASSETS!$L22)</f>
        <v>Authorized USB Acquisition Lab video</v>
      </c>
      <c r="F22" s="38" t="e">
        <f ca="1">IF(ASSETS!$A22="","",IF(UPPER(ASSETS!$H22)&lt;&gt;"TRUE","Disabled",HYPERLINK("http://127.0.0.1:5173/__dev/asset-source"&amp;"?assetId="&amp;_xludf.ENCODEURL(ASSETS!$A22)&amp;"&amp;sig="&amp;_xludf.ENCODEURL(ASSETS!$B22&amp;"|"&amp;ASSETS!$C22&amp;"|"&amp;ASSETS!$D22&amp;"|"&amp;ASSETS!$E22&amp;"|"&amp;ASSETS!$H22),"Open source")))</f>
        <v>#NAME?</v>
      </c>
      <c r="G22" s="38" t="e">
        <f ca="1">IF(ASSETS!$A22="","",IF(OR(UPPER(ASSETS!$H22)&lt;&gt;"TRUE",ASSETS!$I22=""),"Unavailable",HYPERLINK("http://127.0.0.1:5173/__dev/asset-resolved"&amp;"?assetId="&amp;_xludf.ENCODEURL(ASSETS!$A22)&amp;"&amp;sig="&amp;_xludf.ENCODEURL(ASSETS!$B22&amp;"|"&amp;ASSETS!$C22&amp;"|"&amp;ASSETS!$D22&amp;"|"&amp;ASSETS!$E22&amp;"|"&amp;ASSETS!$H22),"Open resolved")))</f>
        <v>#NAME?</v>
      </c>
    </row>
    <row r="23" spans="1:7" ht="85.95" customHeight="1" x14ac:dyDescent="0.3">
      <c r="A23" s="35" t="str">
        <f>IF(ASSETS!$A23="","",HYPERLINK("#'ASSETS'!A23",ASSETS!$A23))</f>
        <v>project-5-thumbnail</v>
      </c>
      <c r="B23" s="36" t="str">
        <f>IF(ASSETS!$A23="","",UPPER(ASSETS!$B23))</f>
        <v>IMAGE</v>
      </c>
      <c r="C23" s="37" t="e">
        <f ca="1">IF(ASSETS!$A23="","",_xludf.IMAGE("http://127.0.0.1:5173/__dev/asset-preview"&amp;"?assetId="&amp;_xludf.ENCODEURL(ASSETS!$A23)&amp;"&amp;sig="&amp;_xludf.ENCODEURL(ASSETS!$B23&amp;"|"&amp;ASSETS!$C23&amp;"|"&amp;ASSETS!$D23&amp;"|"&amp;ASSETS!$E23&amp;"|"&amp;ASSETS!$H23),"Preview"))</f>
        <v>#NAME?</v>
      </c>
      <c r="D23" s="36" t="str">
        <f>IF(ASSETS!$A23="","",ASSETS!$I23)</f>
        <v>/assets/projects/usb-extraction.png</v>
      </c>
      <c r="E23" s="36" t="str">
        <f>IF(ASSETS!$A23="","",ASSETS!$L23)</f>
        <v>Authorized USB Acquisition Lab thumbnail</v>
      </c>
      <c r="F23" s="38" t="e">
        <f ca="1">IF(ASSETS!$A23="","",IF(UPPER(ASSETS!$H23)&lt;&gt;"TRUE","Disabled",HYPERLINK("http://127.0.0.1:5173/__dev/asset-source"&amp;"?assetId="&amp;_xludf.ENCODEURL(ASSETS!$A23)&amp;"&amp;sig="&amp;_xludf.ENCODEURL(ASSETS!$B23&amp;"|"&amp;ASSETS!$C23&amp;"|"&amp;ASSETS!$D23&amp;"|"&amp;ASSETS!$E23&amp;"|"&amp;ASSETS!$H23),"Open source")))</f>
        <v>#NAME?</v>
      </c>
      <c r="G23" s="38" t="e">
        <f ca="1">IF(ASSETS!$A23="","",IF(OR(UPPER(ASSETS!$H23)&lt;&gt;"TRUE",ASSETS!$I23=""),"Unavailable",HYPERLINK("http://127.0.0.1:5173/__dev/asset-resolved"&amp;"?assetId="&amp;_xludf.ENCODEURL(ASSETS!$A23)&amp;"&amp;sig="&amp;_xludf.ENCODEURL(ASSETS!$B23&amp;"|"&amp;ASSETS!$C23&amp;"|"&amp;ASSETS!$D23&amp;"|"&amp;ASSETS!$E23&amp;"|"&amp;ASSETS!$H23),"Open resolved")))</f>
        <v>#NAME?</v>
      </c>
    </row>
    <row r="24" spans="1:7" ht="85.95" customHeight="1" x14ac:dyDescent="0.3">
      <c r="A24" s="35" t="str">
        <f>IF(ASSETS!$A24="","",HYPERLINK("#'ASSETS'!A24",ASSETS!$A24))</f>
        <v>project-5-icon</v>
      </c>
      <c r="B24" s="36" t="str">
        <f>IF(ASSETS!$A24="","",UPPER(ASSETS!$B24))</f>
        <v>ICON</v>
      </c>
      <c r="C24" s="37" t="e">
        <f ca="1">IF(ASSETS!$A24="","",_xludf.IMAGE("http://127.0.0.1:5173/__dev/asset-preview"&amp;"?assetId="&amp;_xludf.ENCODEURL(ASSETS!$A24)&amp;"&amp;sig="&amp;_xludf.ENCODEURL(ASSETS!$B24&amp;"|"&amp;ASSETS!$C24&amp;"|"&amp;ASSETS!$D24&amp;"|"&amp;ASSETS!$E24&amp;"|"&amp;ASSETS!$H24),"Preview"))</f>
        <v>#NAME?</v>
      </c>
      <c r="D24" s="36" t="str">
        <f>IF(ASSETS!$A24="","",ASSETS!$I24)</f>
        <v>/assets/projects/terminal.ico</v>
      </c>
      <c r="E24" s="36" t="str">
        <f>IF(ASSETS!$A24="","",ASSETS!$L24)</f>
        <v>Authorized USB Acquisition Lab icon</v>
      </c>
      <c r="F24" s="38" t="e">
        <f ca="1">IF(ASSETS!$A24="","",IF(UPPER(ASSETS!$H24)&lt;&gt;"TRUE","Disabled",HYPERLINK("http://127.0.0.1:5173/__dev/asset-source"&amp;"?assetId="&amp;_xludf.ENCODEURL(ASSETS!$A24)&amp;"&amp;sig="&amp;_xludf.ENCODEURL(ASSETS!$B24&amp;"|"&amp;ASSETS!$C24&amp;"|"&amp;ASSETS!$D24&amp;"|"&amp;ASSETS!$E24&amp;"|"&amp;ASSETS!$H24),"Open source")))</f>
        <v>#NAME?</v>
      </c>
      <c r="G24" s="38" t="e">
        <f ca="1">IF(ASSETS!$A24="","",IF(OR(UPPER(ASSETS!$H24)&lt;&gt;"TRUE",ASSETS!$I24=""),"Unavailable",HYPERLINK("http://127.0.0.1:5173/__dev/asset-resolved"&amp;"?assetId="&amp;_xludf.ENCODEURL(ASSETS!$A24)&amp;"&amp;sig="&amp;_xludf.ENCODEURL(ASSETS!$B24&amp;"|"&amp;ASSETS!$C24&amp;"|"&amp;ASSETS!$D24&amp;"|"&amp;ASSETS!$E24&amp;"|"&amp;ASSETS!$H24),"Open resolved")))</f>
        <v>#NAME?</v>
      </c>
    </row>
    <row r="25" spans="1:7" ht="85.95" customHeight="1" x14ac:dyDescent="0.3">
      <c r="A25" s="35" t="str">
        <f>IF(ASSETS!$A25="","",HYPERLINK("#'ASSETS'!A25",ASSETS!$A25))</f>
        <v>testimonial-client3</v>
      </c>
      <c r="B25" s="36" t="str">
        <f>IF(ASSETS!$A25="","",UPPER(ASSETS!$B25))</f>
        <v>IMAGE</v>
      </c>
      <c r="C25" s="37" t="e">
        <f ca="1">IF(ASSETS!$A25="","",_xludf.IMAGE("http://127.0.0.1:5173/__dev/asset-preview"&amp;"?assetId="&amp;_xludf.ENCODEURL(ASSETS!$A25)&amp;"&amp;sig="&amp;_xludf.ENCODEURL(ASSETS!$B25&amp;"|"&amp;ASSETS!$C25&amp;"|"&amp;ASSETS!$D25&amp;"|"&amp;ASSETS!$E25&amp;"|"&amp;ASSETS!$H25),"Preview"))</f>
        <v>#NAME?</v>
      </c>
      <c r="D25" s="36" t="str">
        <f>IF(ASSETS!$A25="","",ASSETS!$I25)</f>
        <v>/assets/testimonials/client3.png</v>
      </c>
      <c r="E25" s="36" t="str">
        <f>IF(ASSETS!$A25="","",ASSETS!$L25)</f>
        <v>automation-outstanding-work avatar</v>
      </c>
      <c r="F25" s="38" t="e">
        <f ca="1">IF(ASSETS!$A25="","",IF(UPPER(ASSETS!$H25)&lt;&gt;"TRUE","Disabled",HYPERLINK("http://127.0.0.1:5173/__dev/asset-source"&amp;"?assetId="&amp;_xludf.ENCODEURL(ASSETS!$A25)&amp;"&amp;sig="&amp;_xludf.ENCODEURL(ASSETS!$B25&amp;"|"&amp;ASSETS!$C25&amp;"|"&amp;ASSETS!$D25&amp;"|"&amp;ASSETS!$E25&amp;"|"&amp;ASSETS!$H25),"Open source")))</f>
        <v>#NAME?</v>
      </c>
      <c r="G25" s="38" t="e">
        <f ca="1">IF(ASSETS!$A25="","",IF(OR(UPPER(ASSETS!$H25)&lt;&gt;"TRUE",ASSETS!$I25=""),"Unavailable",HYPERLINK("http://127.0.0.1:5173/__dev/asset-resolved"&amp;"?assetId="&amp;_xludf.ENCODEURL(ASSETS!$A25)&amp;"&amp;sig="&amp;_xludf.ENCODEURL(ASSETS!$B25&amp;"|"&amp;ASSETS!$C25&amp;"|"&amp;ASSETS!$D25&amp;"|"&amp;ASSETS!$E25&amp;"|"&amp;ASSETS!$H25),"Open resolved")))</f>
        <v>#NAME?</v>
      </c>
    </row>
    <row r="26" spans="1:7" ht="85.95" customHeight="1" x14ac:dyDescent="0.3">
      <c r="A26" s="35" t="str">
        <f>IF(ASSETS!$A26="","",HYPERLINK("#'ASSETS'!A26",ASSETS!$A26))</f>
        <v>testimonial-client2</v>
      </c>
      <c r="B26" s="36" t="str">
        <f>IF(ASSETS!$A26="","",UPPER(ASSETS!$B26))</f>
        <v>IMAGE</v>
      </c>
      <c r="C26" s="37" t="e">
        <f ca="1">IF(ASSETS!$A26="","",_xludf.IMAGE("http://127.0.0.1:5173/__dev/asset-preview"&amp;"?assetId="&amp;_xludf.ENCODEURL(ASSETS!$A26)&amp;"&amp;sig="&amp;_xludf.ENCODEURL(ASSETS!$B26&amp;"|"&amp;ASSETS!$C26&amp;"|"&amp;ASSETS!$D26&amp;"|"&amp;ASSETS!$E26&amp;"|"&amp;ASSETS!$H26),"Preview"))</f>
        <v>#NAME?</v>
      </c>
      <c r="D26" s="36" t="str">
        <f>IF(ASSETS!$A26="","",ASSETS!$I26)</f>
        <v>/assets/testimonials/client2.png</v>
      </c>
      <c r="E26" s="36" t="str">
        <f>IF(ASSETS!$A26="","",ASSETS!$L26)</f>
        <v>unity-great-work avatar</v>
      </c>
      <c r="F26" s="38" t="e">
        <f ca="1">IF(ASSETS!$A26="","",IF(UPPER(ASSETS!$H26)&lt;&gt;"TRUE","Disabled",HYPERLINK("http://127.0.0.1:5173/__dev/asset-source"&amp;"?assetId="&amp;_xludf.ENCODEURL(ASSETS!$A26)&amp;"&amp;sig="&amp;_xludf.ENCODEURL(ASSETS!$B26&amp;"|"&amp;ASSETS!$C26&amp;"|"&amp;ASSETS!$D26&amp;"|"&amp;ASSETS!$E26&amp;"|"&amp;ASSETS!$H26),"Open source")))</f>
        <v>#NAME?</v>
      </c>
      <c r="G26" s="38" t="e">
        <f ca="1">IF(ASSETS!$A26="","",IF(OR(UPPER(ASSETS!$H26)&lt;&gt;"TRUE",ASSETS!$I26=""),"Unavailable",HYPERLINK("http://127.0.0.1:5173/__dev/asset-resolved"&amp;"?assetId="&amp;_xludf.ENCODEURL(ASSETS!$A26)&amp;"&amp;sig="&amp;_xludf.ENCODEURL(ASSETS!$B26&amp;"|"&amp;ASSETS!$C26&amp;"|"&amp;ASSETS!$D26&amp;"|"&amp;ASSETS!$E26&amp;"|"&amp;ASSETS!$H26),"Open resolved")))</f>
        <v>#NAME?</v>
      </c>
    </row>
    <row r="27" spans="1:7" ht="85.95" customHeight="1" x14ac:dyDescent="0.3">
      <c r="A27" s="35" t="str">
        <f>IF(ASSETS!$A27="","",HYPERLINK("#'ASSETS'!A27",ASSETS!$A27))</f>
        <v>testimonial-client1</v>
      </c>
      <c r="B27" s="36" t="str">
        <f>IF(ASSETS!$A27="","",UPPER(ASSETS!$B27))</f>
        <v>IMAGE</v>
      </c>
      <c r="C27" s="37" t="e">
        <f ca="1">IF(ASSETS!$A27="","",_xludf.IMAGE("http://127.0.0.1:5173/__dev/asset-preview"&amp;"?assetId="&amp;_xludf.ENCODEURL(ASSETS!$A27)&amp;"&amp;sig="&amp;_xludf.ENCODEURL(ASSETS!$B27&amp;"|"&amp;ASSETS!$C27&amp;"|"&amp;ASSETS!$D27&amp;"|"&amp;ASSETS!$E27&amp;"|"&amp;ASSETS!$H27),"Preview"))</f>
        <v>#NAME?</v>
      </c>
      <c r="D27" s="36" t="str">
        <f>IF(ASSETS!$A27="","",ASSETS!$I27)</f>
        <v>/assets/testimonials/client1.png</v>
      </c>
      <c r="E27" s="36" t="str">
        <f>IF(ASSETS!$A27="","",ASSETS!$L27)</f>
        <v>automation-nice-guy avatar</v>
      </c>
      <c r="F27" s="38" t="e">
        <f ca="1">IF(ASSETS!$A27="","",IF(UPPER(ASSETS!$H27)&lt;&gt;"TRUE","Disabled",HYPERLINK("http://127.0.0.1:5173/__dev/asset-source"&amp;"?assetId="&amp;_xludf.ENCODEURL(ASSETS!$A27)&amp;"&amp;sig="&amp;_xludf.ENCODEURL(ASSETS!$B27&amp;"|"&amp;ASSETS!$C27&amp;"|"&amp;ASSETS!$D27&amp;"|"&amp;ASSETS!$E27&amp;"|"&amp;ASSETS!$H27),"Open source")))</f>
        <v>#NAME?</v>
      </c>
      <c r="G27" s="38" t="e">
        <f ca="1">IF(ASSETS!$A27="","",IF(OR(UPPER(ASSETS!$H27)&lt;&gt;"TRUE",ASSETS!$I27=""),"Unavailable",HYPERLINK("http://127.0.0.1:5173/__dev/asset-resolved"&amp;"?assetId="&amp;_xludf.ENCODEURL(ASSETS!$A27)&amp;"&amp;sig="&amp;_xludf.ENCODEURL(ASSETS!$B27&amp;"|"&amp;ASSETS!$C27&amp;"|"&amp;ASSETS!$D27&amp;"|"&amp;ASSETS!$E27&amp;"|"&amp;ASSETS!$H27),"Open resolved")))</f>
        <v>#NAME?</v>
      </c>
    </row>
    <row r="28" spans="1:7" ht="85.95" customHeight="1" x14ac:dyDescent="0.3">
      <c r="A28" s="35" t="str">
        <f>IF(ASSETS!$A28="","",HYPERLINK("#'ASSETS'!A28",ASSETS!$A28))</f>
        <v>testimonial-client4</v>
      </c>
      <c r="B28" s="36" t="str">
        <f>IF(ASSETS!$A28="","",UPPER(ASSETS!$B28))</f>
        <v>IMAGE</v>
      </c>
      <c r="C28" s="37" t="e">
        <f ca="1">IF(ASSETS!$A28="","",_xludf.IMAGE("http://127.0.0.1:5173/__dev/asset-preview"&amp;"?assetId="&amp;_xludf.ENCODEURL(ASSETS!$A28)&amp;"&amp;sig="&amp;_xludf.ENCODEURL(ASSETS!$B28&amp;"|"&amp;ASSETS!$C28&amp;"|"&amp;ASSETS!$D28&amp;"|"&amp;ASSETS!$E28&amp;"|"&amp;ASSETS!$H28),"Preview"))</f>
        <v>#NAME?</v>
      </c>
      <c r="D28" s="36" t="str">
        <f>IF(ASSETS!$A28="","",ASSETS!$I28)</f>
        <v>/assets/testimonials/client4.png</v>
      </c>
      <c r="E28" s="36" t="str">
        <f>IF(ASSETS!$A28="","",ASSETS!$L28)</f>
        <v>automation-wonderful-details avatar</v>
      </c>
      <c r="F28" s="38" t="e">
        <f ca="1">IF(ASSETS!$A28="","",IF(UPPER(ASSETS!$H28)&lt;&gt;"TRUE","Disabled",HYPERLINK("http://127.0.0.1:5173/__dev/asset-source"&amp;"?assetId="&amp;_xludf.ENCODEURL(ASSETS!$A28)&amp;"&amp;sig="&amp;_xludf.ENCODEURL(ASSETS!$B28&amp;"|"&amp;ASSETS!$C28&amp;"|"&amp;ASSETS!$D28&amp;"|"&amp;ASSETS!$E28&amp;"|"&amp;ASSETS!$H28),"Open source")))</f>
        <v>#NAME?</v>
      </c>
      <c r="G28" s="38" t="e">
        <f ca="1">IF(ASSETS!$A28="","",IF(OR(UPPER(ASSETS!$H28)&lt;&gt;"TRUE",ASSETS!$I28=""),"Unavailable",HYPERLINK("http://127.0.0.1:5173/__dev/asset-resolved"&amp;"?assetId="&amp;_xludf.ENCODEURL(ASSETS!$A28)&amp;"&amp;sig="&amp;_xludf.ENCODEURL(ASSETS!$B28&amp;"|"&amp;ASSETS!$C28&amp;"|"&amp;ASSETS!$D28&amp;"|"&amp;ASSETS!$E28&amp;"|"&amp;ASSETS!$H28),"Open resolved")))</f>
        <v>#NAME?</v>
      </c>
    </row>
    <row r="29" spans="1:7" ht="85.95" customHeight="1" x14ac:dyDescent="0.3">
      <c r="A29" s="35" t="str">
        <f>IF(ASSETS!$A29="","",HYPERLINK("#'ASSETS'!A29",ASSETS!$A29))</f>
        <v>testimonial-client5</v>
      </c>
      <c r="B29" s="36" t="str">
        <f>IF(ASSETS!$A29="","",UPPER(ASSETS!$B29))</f>
        <v>IMAGE</v>
      </c>
      <c r="C29" s="37" t="e">
        <f ca="1">IF(ASSETS!$A29="","",_xludf.IMAGE("http://127.0.0.1:5173/__dev/asset-preview"&amp;"?assetId="&amp;_xludf.ENCODEURL(ASSETS!$A29)&amp;"&amp;sig="&amp;_xludf.ENCODEURL(ASSETS!$B29&amp;"|"&amp;ASSETS!$C29&amp;"|"&amp;ASSETS!$D29&amp;"|"&amp;ASSETS!$E29&amp;"|"&amp;ASSETS!$H29),"Preview"))</f>
        <v>#NAME?</v>
      </c>
      <c r="D29" s="36" t="str">
        <f>IF(ASSETS!$A29="","",ASSETS!$I29)</f>
        <v>/assets/testimonials/client5.jpg</v>
      </c>
      <c r="E29" s="36" t="str">
        <f>IF(ASSETS!$A29="","",ASSETS!$L29)</f>
        <v>automation-seo-detail avatar</v>
      </c>
      <c r="F29" s="38" t="e">
        <f ca="1">IF(ASSETS!$A29="","",IF(UPPER(ASSETS!$H29)&lt;&gt;"TRUE","Disabled",HYPERLINK("http://127.0.0.1:5173/__dev/asset-source"&amp;"?assetId="&amp;_xludf.ENCODEURL(ASSETS!$A29)&amp;"&amp;sig="&amp;_xludf.ENCODEURL(ASSETS!$B29&amp;"|"&amp;ASSETS!$C29&amp;"|"&amp;ASSETS!$D29&amp;"|"&amp;ASSETS!$E29&amp;"|"&amp;ASSETS!$H29),"Open source")))</f>
        <v>#NAME?</v>
      </c>
      <c r="G29" s="38" t="e">
        <f ca="1">IF(ASSETS!$A29="","",IF(OR(UPPER(ASSETS!$H29)&lt;&gt;"TRUE",ASSETS!$I29=""),"Unavailable",HYPERLINK("http://127.0.0.1:5173/__dev/asset-resolved"&amp;"?assetId="&amp;_xludf.ENCODEURL(ASSETS!$A29)&amp;"&amp;sig="&amp;_xludf.ENCODEURL(ASSETS!$B29&amp;"|"&amp;ASSETS!$C29&amp;"|"&amp;ASSETS!$D29&amp;"|"&amp;ASSETS!$E29&amp;"|"&amp;ASSETS!$H29),"Open resolved")))</f>
        <v>#NAME?</v>
      </c>
    </row>
    <row r="30" spans="1:7" ht="85.95" customHeight="1" x14ac:dyDescent="0.3">
      <c r="A30" s="35" t="str">
        <f>IF(ASSETS!$A30="","",HYPERLINK("#'ASSETS'!A30",ASSETS!$A30))</f>
        <v>testimonial-client6</v>
      </c>
      <c r="B30" s="36" t="str">
        <f>IF(ASSETS!$A30="","",UPPER(ASSETS!$B30))</f>
        <v>IMAGE</v>
      </c>
      <c r="C30" s="37" t="e">
        <f ca="1">IF(ASSETS!$A30="","",_xludf.IMAGE("http://127.0.0.1:5173/__dev/asset-preview"&amp;"?assetId="&amp;_xludf.ENCODEURL(ASSETS!$A30)&amp;"&amp;sig="&amp;_xludf.ENCODEURL(ASSETS!$B30&amp;"|"&amp;ASSETS!$C30&amp;"|"&amp;ASSETS!$D30&amp;"|"&amp;ASSETS!$E30&amp;"|"&amp;ASSETS!$H30),"Preview"))</f>
        <v>#NAME?</v>
      </c>
      <c r="D30" s="36" t="str">
        <f>IF(ASSETS!$A30="","",ASSETS!$I30)</f>
        <v>/assets/testimonials/client6.jpg</v>
      </c>
      <c r="E30" s="36" t="str">
        <f>IF(ASSETS!$A30="","",ASSETS!$L30)</f>
        <v>automation-fast-turnaround avatar</v>
      </c>
      <c r="F30" s="38" t="e">
        <f ca="1">IF(ASSETS!$A30="","",IF(UPPER(ASSETS!$H30)&lt;&gt;"TRUE","Disabled",HYPERLINK("http://127.0.0.1:5173/__dev/asset-source"&amp;"?assetId="&amp;_xludf.ENCODEURL(ASSETS!$A30)&amp;"&amp;sig="&amp;_xludf.ENCODEURL(ASSETS!$B30&amp;"|"&amp;ASSETS!$C30&amp;"|"&amp;ASSETS!$D30&amp;"|"&amp;ASSETS!$E30&amp;"|"&amp;ASSETS!$H30),"Open source")))</f>
        <v>#NAME?</v>
      </c>
      <c r="G30" s="38" t="e">
        <f ca="1">IF(ASSETS!$A30="","",IF(OR(UPPER(ASSETS!$H30)&lt;&gt;"TRUE",ASSETS!$I30=""),"Unavailable",HYPERLINK("http://127.0.0.1:5173/__dev/asset-resolved"&amp;"?assetId="&amp;_xludf.ENCODEURL(ASSETS!$A30)&amp;"&amp;sig="&amp;_xludf.ENCODEURL(ASSETS!$B30&amp;"|"&amp;ASSETS!$C30&amp;"|"&amp;ASSETS!$D30&amp;"|"&amp;ASSETS!$E30&amp;"|"&amp;ASSETS!$H30),"Open resolved")))</f>
        <v>#NAME?</v>
      </c>
    </row>
    <row r="31" spans="1:7" ht="85.95" customHeight="1" x14ac:dyDescent="0.3">
      <c r="A31" s="35" t="str">
        <f>IF(ASSETS!$A31="","",HYPERLINK("#'ASSETS'!A31",ASSETS!$A31))</f>
        <v>testimonial-client7</v>
      </c>
      <c r="B31" s="36" t="str">
        <f>IF(ASSETS!$A31="","",UPPER(ASSETS!$B31))</f>
        <v>IMAGE</v>
      </c>
      <c r="C31" s="37" t="e">
        <f ca="1">IF(ASSETS!$A31="","",_xludf.IMAGE("http://127.0.0.1:5173/__dev/asset-preview"&amp;"?assetId="&amp;_xludf.ENCODEURL(ASSETS!$A31)&amp;"&amp;sig="&amp;_xludf.ENCODEURL(ASSETS!$B31&amp;"|"&amp;ASSETS!$C31&amp;"|"&amp;ASSETS!$D31&amp;"|"&amp;ASSETS!$E31&amp;"|"&amp;ASSETS!$H31),"Preview"))</f>
        <v>#NAME?</v>
      </c>
      <c r="D31" s="36" t="str">
        <f>IF(ASSETS!$A31="","",ASSETS!$I31)</f>
        <v>/assets/testimonials/client7.jpg</v>
      </c>
      <c r="E31" s="36" t="str">
        <f>IF(ASSETS!$A31="","",ASSETS!$L31)</f>
        <v>automation-vigor avatar</v>
      </c>
      <c r="F31" s="38" t="e">
        <f ca="1">IF(ASSETS!$A31="","",IF(UPPER(ASSETS!$H31)&lt;&gt;"TRUE","Disabled",HYPERLINK("http://127.0.0.1:5173/__dev/asset-source"&amp;"?assetId="&amp;_xludf.ENCODEURL(ASSETS!$A31)&amp;"&amp;sig="&amp;_xludf.ENCODEURL(ASSETS!$B31&amp;"|"&amp;ASSETS!$C31&amp;"|"&amp;ASSETS!$D31&amp;"|"&amp;ASSETS!$E31&amp;"|"&amp;ASSETS!$H31),"Open source")))</f>
        <v>#NAME?</v>
      </c>
      <c r="G31" s="38" t="e">
        <f ca="1">IF(ASSETS!$A31="","",IF(OR(UPPER(ASSETS!$H31)&lt;&gt;"TRUE",ASSETS!$I31=""),"Unavailable",HYPERLINK("http://127.0.0.1:5173/__dev/asset-resolved"&amp;"?assetId="&amp;_xludf.ENCODEURL(ASSETS!$A31)&amp;"&amp;sig="&amp;_xludf.ENCODEURL(ASSETS!$B31&amp;"|"&amp;ASSETS!$C31&amp;"|"&amp;ASSETS!$D31&amp;"|"&amp;ASSETS!$E31&amp;"|"&amp;ASSETS!$H31),"Open resolved")))</f>
        <v>#NAME?</v>
      </c>
    </row>
    <row r="32" spans="1:7" ht="85.95" customHeight="1" x14ac:dyDescent="0.3">
      <c r="A32" s="35" t="str">
        <f>IF(ASSETS!$A32="","",HYPERLINK("#'ASSETS'!A32",ASSETS!$A32))</f>
        <v>testimonial-client8</v>
      </c>
      <c r="B32" s="36" t="str">
        <f>IF(ASSETS!$A32="","",UPPER(ASSETS!$B32))</f>
        <v>IMAGE</v>
      </c>
      <c r="C32" s="37" t="e">
        <f ca="1">IF(ASSETS!$A32="","",_xludf.IMAGE("http://127.0.0.1:5173/__dev/asset-preview"&amp;"?assetId="&amp;_xludf.ENCODEURL(ASSETS!$A32)&amp;"&amp;sig="&amp;_xludf.ENCODEURL(ASSETS!$B32&amp;"|"&amp;ASSETS!$C32&amp;"|"&amp;ASSETS!$D32&amp;"|"&amp;ASSETS!$E32&amp;"|"&amp;ASSETS!$H32),"Preview"))</f>
        <v>#NAME?</v>
      </c>
      <c r="D32" s="36" t="str">
        <f>IF(ASSETS!$A32="","",ASSETS!$I32)</f>
        <v>/assets/testimonials/client8.jpg</v>
      </c>
      <c r="E32" s="36" t="str">
        <f>IF(ASSETS!$A32="","",ASSETS!$L32)</f>
        <v>2 refs | unity-progress-communication avatar</v>
      </c>
      <c r="F32" s="38" t="e">
        <f ca="1">IF(ASSETS!$A32="","",IF(UPPER(ASSETS!$H32)&lt;&gt;"TRUE","Disabled",HYPERLINK("http://127.0.0.1:5173/__dev/asset-source"&amp;"?assetId="&amp;_xludf.ENCODEURL(ASSETS!$A32)&amp;"&amp;sig="&amp;_xludf.ENCODEURL(ASSETS!$B32&amp;"|"&amp;ASSETS!$C32&amp;"|"&amp;ASSETS!$D32&amp;"|"&amp;ASSETS!$E32&amp;"|"&amp;ASSETS!$H32),"Open source")))</f>
        <v>#NAME?</v>
      </c>
      <c r="G32" s="38" t="e">
        <f ca="1">IF(ASSETS!$A32="","",IF(OR(UPPER(ASSETS!$H32)&lt;&gt;"TRUE",ASSETS!$I32=""),"Unavailable",HYPERLINK("http://127.0.0.1:5173/__dev/asset-resolved"&amp;"?assetId="&amp;_xludf.ENCODEURL(ASSETS!$A32)&amp;"&amp;sig="&amp;_xludf.ENCODEURL(ASSETS!$B32&amp;"|"&amp;ASSETS!$C32&amp;"|"&amp;ASSETS!$D32&amp;"|"&amp;ASSETS!$E32&amp;"|"&amp;ASSETS!$H32),"Open resolved")))</f>
        <v>#NAME?</v>
      </c>
    </row>
    <row r="33" spans="1:7" ht="85.95" customHeight="1" x14ac:dyDescent="0.3">
      <c r="A33" s="35" t="str">
        <f>IF(ASSETS!$A33="","",HYPERLINK("#'ASSETS'!A33",ASSETS!$A33))</f>
        <v>testimonial-client9</v>
      </c>
      <c r="B33" s="36" t="str">
        <f>IF(ASSETS!$A33="","",UPPER(ASSETS!$B33))</f>
        <v>IMAGE</v>
      </c>
      <c r="C33" s="37" t="e">
        <f ca="1">IF(ASSETS!$A33="","",_xludf.IMAGE("http://127.0.0.1:5173/__dev/asset-preview"&amp;"?assetId="&amp;_xludf.ENCODEURL(ASSETS!$A33)&amp;"&amp;sig="&amp;_xludf.ENCODEURL(ASSETS!$B33&amp;"|"&amp;ASSETS!$C33&amp;"|"&amp;ASSETS!$D33&amp;"|"&amp;ASSETS!$E33&amp;"|"&amp;ASSETS!$H33),"Preview"))</f>
        <v>#NAME?</v>
      </c>
      <c r="D33" s="36" t="str">
        <f>IF(ASSETS!$A33="","",ASSETS!$I33)</f>
        <v>/assets/testimonials/client9.jpg</v>
      </c>
      <c r="E33" s="36" t="str">
        <f>IF(ASSETS!$A33="","",ASSETS!$L33)</f>
        <v>No references</v>
      </c>
      <c r="F33" s="38" t="e">
        <f ca="1">IF(ASSETS!$A33="","",IF(UPPER(ASSETS!$H33)&lt;&gt;"TRUE","Disabled",HYPERLINK("http://127.0.0.1:5173/__dev/asset-source"&amp;"?assetId="&amp;_xludf.ENCODEURL(ASSETS!$A33)&amp;"&amp;sig="&amp;_xludf.ENCODEURL(ASSETS!$B33&amp;"|"&amp;ASSETS!$C33&amp;"|"&amp;ASSETS!$D33&amp;"|"&amp;ASSETS!$E33&amp;"|"&amp;ASSETS!$H33),"Open source")))</f>
        <v>#NAME?</v>
      </c>
      <c r="G33" s="38" t="e">
        <f ca="1">IF(ASSETS!$A33="","",IF(OR(UPPER(ASSETS!$H33)&lt;&gt;"TRUE",ASSETS!$I33=""),"Unavailable",HYPERLINK("http://127.0.0.1:5173/__dev/asset-resolved"&amp;"?assetId="&amp;_xludf.ENCODEURL(ASSETS!$A33)&amp;"&amp;sig="&amp;_xludf.ENCODEURL(ASSETS!$B33&amp;"|"&amp;ASSETS!$C33&amp;"|"&amp;ASSETS!$D33&amp;"|"&amp;ASSETS!$E33&amp;"|"&amp;ASSETS!$H33),"Open resolved")))</f>
        <v>#NAME?</v>
      </c>
    </row>
    <row r="34" spans="1:7" ht="85.95" customHeight="1" x14ac:dyDescent="0.3">
      <c r="A34" s="35" t="str">
        <f>IF(ASSETS!$A34="","",HYPERLINK("#'ASSETS'!A34",ASSETS!$A34))</f>
        <v>testimonial-client10</v>
      </c>
      <c r="B34" s="36" t="str">
        <f>IF(ASSETS!$A34="","",UPPER(ASSETS!$B34))</f>
        <v>IMAGE</v>
      </c>
      <c r="C34" s="37" t="e">
        <f ca="1">IF(ASSETS!$A34="","",_xludf.IMAGE("http://127.0.0.1:5173/__dev/asset-preview"&amp;"?assetId="&amp;_xludf.ENCODEURL(ASSETS!$A34)&amp;"&amp;sig="&amp;_xludf.ENCODEURL(ASSETS!$B34&amp;"|"&amp;ASSETS!$C34&amp;"|"&amp;ASSETS!$D34&amp;"|"&amp;ASSETS!$E34&amp;"|"&amp;ASSETS!$H34),"Preview"))</f>
        <v>#NAME?</v>
      </c>
      <c r="D34" s="36" t="str">
        <f>IF(ASSETS!$A34="","",ASSETS!$I34)</f>
        <v>/assets/testimonials/client10.jpg</v>
      </c>
      <c r="E34" s="36" t="str">
        <f>IF(ASSETS!$A34="","",ASSETS!$L34)</f>
        <v>No references</v>
      </c>
      <c r="F34" s="38" t="e">
        <f ca="1">IF(ASSETS!$A34="","",IF(UPPER(ASSETS!$H34)&lt;&gt;"TRUE","Disabled",HYPERLINK("http://127.0.0.1:5173/__dev/asset-source"&amp;"?assetId="&amp;_xludf.ENCODEURL(ASSETS!$A34)&amp;"&amp;sig="&amp;_xludf.ENCODEURL(ASSETS!$B34&amp;"|"&amp;ASSETS!$C34&amp;"|"&amp;ASSETS!$D34&amp;"|"&amp;ASSETS!$E34&amp;"|"&amp;ASSETS!$H34),"Open source")))</f>
        <v>#NAME?</v>
      </c>
      <c r="G34" s="38" t="e">
        <f ca="1">IF(ASSETS!$A34="","",IF(OR(UPPER(ASSETS!$H34)&lt;&gt;"TRUE",ASSETS!$I34=""),"Unavailable",HYPERLINK("http://127.0.0.1:5173/__dev/asset-resolved"&amp;"?assetId="&amp;_xludf.ENCODEURL(ASSETS!$A34)&amp;"&amp;sig="&amp;_xludf.ENCODEURL(ASSETS!$B34&amp;"|"&amp;ASSETS!$C34&amp;"|"&amp;ASSETS!$D34&amp;"|"&amp;ASSETS!$E34&amp;"|"&amp;ASSETS!$H34),"Open resolved")))</f>
        <v>#NAME?</v>
      </c>
    </row>
    <row r="35" spans="1:7" ht="85.95" customHeight="1" x14ac:dyDescent="0.3">
      <c r="A35" s="35" t="str">
        <f>IF(ASSETS!$A35="","",HYPERLINK("#'ASSETS'!A35",ASSETS!$A35))</f>
        <v>testimonial-client11</v>
      </c>
      <c r="B35" s="36" t="str">
        <f>IF(ASSETS!$A35="","",UPPER(ASSETS!$B35))</f>
        <v>IMAGE</v>
      </c>
      <c r="C35" s="37" t="e">
        <f ca="1">IF(ASSETS!$A35="","",_xludf.IMAGE("http://127.0.0.1:5173/__dev/asset-preview"&amp;"?assetId="&amp;_xludf.ENCODEURL(ASSETS!$A35)&amp;"&amp;sig="&amp;_xludf.ENCODEURL(ASSETS!$B35&amp;"|"&amp;ASSETS!$C35&amp;"|"&amp;ASSETS!$D35&amp;"|"&amp;ASSETS!$E35&amp;"|"&amp;ASSETS!$H35),"Preview"))</f>
        <v>#NAME?</v>
      </c>
      <c r="D35" s="36" t="str">
        <f>IF(ASSETS!$A35="","",ASSETS!$I35)</f>
        <v>/assets/testimonials/client11.jpg</v>
      </c>
      <c r="E35" s="36" t="str">
        <f>IF(ASSETS!$A35="","",ASSETS!$L35)</f>
        <v>automation-highly-recommend avatar</v>
      </c>
      <c r="F35" s="38" t="e">
        <f ca="1">IF(ASSETS!$A35="","",IF(UPPER(ASSETS!$H35)&lt;&gt;"TRUE","Disabled",HYPERLINK("http://127.0.0.1:5173/__dev/asset-source"&amp;"?assetId="&amp;_xludf.ENCODEURL(ASSETS!$A35)&amp;"&amp;sig="&amp;_xludf.ENCODEURL(ASSETS!$B35&amp;"|"&amp;ASSETS!$C35&amp;"|"&amp;ASSETS!$D35&amp;"|"&amp;ASSETS!$E35&amp;"|"&amp;ASSETS!$H35),"Open source")))</f>
        <v>#NAME?</v>
      </c>
      <c r="G35" s="38" t="e">
        <f ca="1">IF(ASSETS!$A35="","",IF(OR(UPPER(ASSETS!$H35)&lt;&gt;"TRUE",ASSETS!$I35=""),"Unavailable",HYPERLINK("http://127.0.0.1:5173/__dev/asset-resolved"&amp;"?assetId="&amp;_xludf.ENCODEURL(ASSETS!$A35)&amp;"&amp;sig="&amp;_xludf.ENCODEURL(ASSETS!$B35&amp;"|"&amp;ASSETS!$C35&amp;"|"&amp;ASSETS!$D35&amp;"|"&amp;ASSETS!$E35&amp;"|"&amp;ASSETS!$H35),"Open resolved")))</f>
        <v>#NAME?</v>
      </c>
    </row>
    <row r="36" spans="1:7" ht="85.95" customHeight="1" x14ac:dyDescent="0.3">
      <c r="A36" s="35" t="str">
        <f>IF(ASSETS!$A36="","",HYPERLINK("#'ASSETS'!A36",ASSETS!$A36))</f>
        <v>testimonial-pack-leaf</v>
      </c>
      <c r="B36" s="36" t="str">
        <f>IF(ASSETS!$A36="","",UPPER(ASSETS!$B36))</f>
        <v>IMAGE</v>
      </c>
      <c r="C36" s="37" t="e">
        <f ca="1">IF(ASSETS!$A36="","",_xludf.IMAGE("http://127.0.0.1:5173/__dev/asset-preview"&amp;"?assetId="&amp;_xludf.ENCODEURL(ASSETS!$A36)&amp;"&amp;sig="&amp;_xludf.ENCODEURL(ASSETS!$B36&amp;"|"&amp;ASSETS!$C36&amp;"|"&amp;ASSETS!$D36&amp;"|"&amp;ASSETS!$E36&amp;"|"&amp;ASSETS!$H36),"Preview"))</f>
        <v>#NAME?</v>
      </c>
      <c r="D36" s="36" t="str">
        <f>IF(ASSETS!$A36="","",ASSETS!$I36)</f>
        <v>/assets/testimonials/pack-leaf.svg</v>
      </c>
      <c r="E36" s="36" t="str">
        <f>IF(ASSETS!$A36="","",ASSETS!$L36)</f>
        <v>automation-exceeded-expectations avatar</v>
      </c>
      <c r="F36" s="38" t="e">
        <f ca="1">IF(ASSETS!$A36="","",IF(UPPER(ASSETS!$H36)&lt;&gt;"TRUE","Disabled",HYPERLINK("http://127.0.0.1:5173/__dev/asset-source"&amp;"?assetId="&amp;_xludf.ENCODEURL(ASSETS!$A36)&amp;"&amp;sig="&amp;_xludf.ENCODEURL(ASSETS!$B36&amp;"|"&amp;ASSETS!$C36&amp;"|"&amp;ASSETS!$D36&amp;"|"&amp;ASSETS!$E36&amp;"|"&amp;ASSETS!$H36),"Open source")))</f>
        <v>#NAME?</v>
      </c>
      <c r="G36" s="38" t="e">
        <f ca="1">IF(ASSETS!$A36="","",IF(OR(UPPER(ASSETS!$H36)&lt;&gt;"TRUE",ASSETS!$I36=""),"Unavailable",HYPERLINK("http://127.0.0.1:5173/__dev/asset-resolved"&amp;"?assetId="&amp;_xludf.ENCODEURL(ASSETS!$A36)&amp;"&amp;sig="&amp;_xludf.ENCODEURL(ASSETS!$B36&amp;"|"&amp;ASSETS!$C36&amp;"|"&amp;ASSETS!$D36&amp;"|"&amp;ASSETS!$E36&amp;"|"&amp;ASSETS!$H36),"Open resolved")))</f>
        <v>#NAME?</v>
      </c>
    </row>
    <row r="37" spans="1:7" ht="85.95" customHeight="1" x14ac:dyDescent="0.3">
      <c r="A37" s="35" t="str">
        <f>IF(ASSETS!$A37="","",HYPERLINK("#'ASSETS'!A37",ASSETS!$A37))</f>
        <v>testimonial-pack-av</v>
      </c>
      <c r="B37" s="36" t="str">
        <f>IF(ASSETS!$A37="","",UPPER(ASSETS!$B37))</f>
        <v>IMAGE</v>
      </c>
      <c r="C37" s="37" t="e">
        <f ca="1">IF(ASSETS!$A37="","",_xludf.IMAGE("http://127.0.0.1:5173/__dev/asset-preview"&amp;"?assetId="&amp;_xludf.ENCODEURL(ASSETS!$A37)&amp;"&amp;sig="&amp;_xludf.ENCODEURL(ASSETS!$B37&amp;"|"&amp;ASSETS!$C37&amp;"|"&amp;ASSETS!$D37&amp;"|"&amp;ASSETS!$E37&amp;"|"&amp;ASSETS!$H37),"Preview"))</f>
        <v>#NAME?</v>
      </c>
      <c r="D37" s="36" t="str">
        <f>IF(ASSETS!$A37="","",ASSETS!$I37)</f>
        <v>/assets/testimonials/pack-av.svg</v>
      </c>
      <c r="E37" s="36" t="str">
        <f>IF(ASSETS!$A37="","",ASSETS!$L37)</f>
        <v>automation-fiverr-credit avatar</v>
      </c>
      <c r="F37" s="38" t="e">
        <f ca="1">IF(ASSETS!$A37="","",IF(UPPER(ASSETS!$H37)&lt;&gt;"TRUE","Disabled",HYPERLINK("http://127.0.0.1:5173/__dev/asset-source"&amp;"?assetId="&amp;_xludf.ENCODEURL(ASSETS!$A37)&amp;"&amp;sig="&amp;_xludf.ENCODEURL(ASSETS!$B37&amp;"|"&amp;ASSETS!$C37&amp;"|"&amp;ASSETS!$D37&amp;"|"&amp;ASSETS!$E37&amp;"|"&amp;ASSETS!$H37),"Open source")))</f>
        <v>#NAME?</v>
      </c>
      <c r="G37" s="38" t="e">
        <f ca="1">IF(ASSETS!$A37="","",IF(OR(UPPER(ASSETS!$H37)&lt;&gt;"TRUE",ASSETS!$I37=""),"Unavailable",HYPERLINK("http://127.0.0.1:5173/__dev/asset-resolved"&amp;"?assetId="&amp;_xludf.ENCODEURL(ASSETS!$A37)&amp;"&amp;sig="&amp;_xludf.ENCODEURL(ASSETS!$B37&amp;"|"&amp;ASSETS!$C37&amp;"|"&amp;ASSETS!$D37&amp;"|"&amp;ASSETS!$E37&amp;"|"&amp;ASSETS!$H37),"Open resolved")))</f>
        <v>#NAME?</v>
      </c>
    </row>
    <row r="38" spans="1:7" ht="85.95" customHeight="1" x14ac:dyDescent="0.3">
      <c r="A38" s="35" t="str">
        <f>IF(ASSETS!$A38="","",HYPERLINK("#'ASSETS'!A38",ASSETS!$A38))</f>
        <v>testimonial-pack-signature</v>
      </c>
      <c r="B38" s="36" t="str">
        <f>IF(ASSETS!$A38="","",UPPER(ASSETS!$B38))</f>
        <v>IMAGE</v>
      </c>
      <c r="C38" s="37" t="e">
        <f ca="1">IF(ASSETS!$A38="","",_xludf.IMAGE("http://127.0.0.1:5173/__dev/asset-preview"&amp;"?assetId="&amp;_xludf.ENCODEURL(ASSETS!$A38)&amp;"&amp;sig="&amp;_xludf.ENCODEURL(ASSETS!$B38&amp;"|"&amp;ASSETS!$C38&amp;"|"&amp;ASSETS!$D38&amp;"|"&amp;ASSETS!$E38&amp;"|"&amp;ASSETS!$H38),"Preview"))</f>
        <v>#NAME?</v>
      </c>
      <c r="D38" s="36" t="str">
        <f>IF(ASSETS!$A38="","",ASSETS!$I38)</f>
        <v>/assets/testimonials/pack-signature-v2.svg</v>
      </c>
      <c r="E38" s="36" t="str">
        <f>IF(ASSETS!$A38="","",ASSETS!$L38)</f>
        <v>automation-communication-timelines avatar</v>
      </c>
      <c r="F38" s="38" t="e">
        <f ca="1">IF(ASSETS!$A38="","",IF(UPPER(ASSETS!$H38)&lt;&gt;"TRUE","Disabled",HYPERLINK("http://127.0.0.1:5173/__dev/asset-source"&amp;"?assetId="&amp;_xludf.ENCODEURL(ASSETS!$A38)&amp;"&amp;sig="&amp;_xludf.ENCODEURL(ASSETS!$B38&amp;"|"&amp;ASSETS!$C38&amp;"|"&amp;ASSETS!$D38&amp;"|"&amp;ASSETS!$E38&amp;"|"&amp;ASSETS!$H38),"Open source")))</f>
        <v>#NAME?</v>
      </c>
      <c r="G38" s="38" t="e">
        <f ca="1">IF(ASSETS!$A38="","",IF(OR(UPPER(ASSETS!$H38)&lt;&gt;"TRUE",ASSETS!$I38=""),"Unavailable",HYPERLINK("http://127.0.0.1:5173/__dev/asset-resolved"&amp;"?assetId="&amp;_xludf.ENCODEURL(ASSETS!$A38)&amp;"&amp;sig="&amp;_xludf.ENCODEURL(ASSETS!$B38&amp;"|"&amp;ASSETS!$C38&amp;"|"&amp;ASSETS!$D38&amp;"|"&amp;ASSETS!$E38&amp;"|"&amp;ASSETS!$H38),"Open resolved")))</f>
        <v>#NAME?</v>
      </c>
    </row>
    <row r="39" spans="1:7" ht="85.95" customHeight="1" x14ac:dyDescent="0.3">
      <c r="A39" s="35" t="str">
        <f>IF(ASSETS!$A39="","",HYPERLINK("#'ASSETS'!A39",ASSETS!$A39))</f>
        <v>testimonial-client12</v>
      </c>
      <c r="B39" s="36" t="str">
        <f>IF(ASSETS!$A39="","",UPPER(ASSETS!$B39))</f>
        <v>IMAGE</v>
      </c>
      <c r="C39" s="37" t="e">
        <f ca="1">IF(ASSETS!$A39="","",_xludf.IMAGE("http://127.0.0.1:5173/__dev/asset-preview"&amp;"?assetId="&amp;_xludf.ENCODEURL(ASSETS!$A39)&amp;"&amp;sig="&amp;_xludf.ENCODEURL(ASSETS!$B39&amp;"|"&amp;ASSETS!$C39&amp;"|"&amp;ASSETS!$D39&amp;"|"&amp;ASSETS!$E39&amp;"|"&amp;ASSETS!$H39),"Preview"))</f>
        <v>#NAME?</v>
      </c>
      <c r="D39" s="36" t="str">
        <f>IF(ASSETS!$A39="","",ASSETS!$I39)</f>
        <v>/assets/testimonials/client12.jpg</v>
      </c>
      <c r="E39" s="36" t="str">
        <f>IF(ASSETS!$A39="","",ASSETS!$L39)</f>
        <v>unity-complex-ownership avatar</v>
      </c>
      <c r="F39" s="38" t="e">
        <f ca="1">IF(ASSETS!$A39="","",IF(UPPER(ASSETS!$H39)&lt;&gt;"TRUE","Disabled",HYPERLINK("http://127.0.0.1:5173/__dev/asset-source"&amp;"?assetId="&amp;_xludf.ENCODEURL(ASSETS!$A39)&amp;"&amp;sig="&amp;_xludf.ENCODEURL(ASSETS!$B39&amp;"|"&amp;ASSETS!$C39&amp;"|"&amp;ASSETS!$D39&amp;"|"&amp;ASSETS!$E39&amp;"|"&amp;ASSETS!$H39),"Open source")))</f>
        <v>#NAME?</v>
      </c>
      <c r="G39" s="38" t="e">
        <f ca="1">IF(ASSETS!$A39="","",IF(OR(UPPER(ASSETS!$H39)&lt;&gt;"TRUE",ASSETS!$I39=""),"Unavailable",HYPERLINK("http://127.0.0.1:5173/__dev/asset-resolved"&amp;"?assetId="&amp;_xludf.ENCODEURL(ASSETS!$A39)&amp;"&amp;sig="&amp;_xludf.ENCODEURL(ASSETS!$B39&amp;"|"&amp;ASSETS!$C39&amp;"|"&amp;ASSETS!$D39&amp;"|"&amp;ASSETS!$E39&amp;"|"&amp;ASSETS!$H39),"Open resolved")))</f>
        <v>#NAME?</v>
      </c>
    </row>
    <row r="40" spans="1:7" ht="85.95" customHeight="1" x14ac:dyDescent="0.3">
      <c r="A40" s="35" t="str">
        <f>IF(ASSETS!$A40="","",HYPERLINK("#'ASSETS'!A40",ASSETS!$A40))</f>
        <v>testimonial-client13</v>
      </c>
      <c r="B40" s="36" t="str">
        <f>IF(ASSETS!$A40="","",UPPER(ASSETS!$B40))</f>
        <v>IMAGE</v>
      </c>
      <c r="C40" s="37" t="e">
        <f ca="1">IF(ASSETS!$A40="","",_xludf.IMAGE("http://127.0.0.1:5173/__dev/asset-preview"&amp;"?assetId="&amp;_xludf.ENCODEURL(ASSETS!$A40)&amp;"&amp;sig="&amp;_xludf.ENCODEURL(ASSETS!$B40&amp;"|"&amp;ASSETS!$C40&amp;"|"&amp;ASSETS!$D40&amp;"|"&amp;ASSETS!$E40&amp;"|"&amp;ASSETS!$H40),"Preview"))</f>
        <v>#NAME?</v>
      </c>
      <c r="D40" s="36" t="str">
        <f>IF(ASSETS!$A40="","",ASSETS!$I40)</f>
        <v>/assets/testimonials/client13.jpg</v>
      </c>
      <c r="E40" s="36" t="str">
        <f>IF(ASSETS!$A40="","",ASSETS!$L40)</f>
        <v>unity-fast-delivery avatar</v>
      </c>
      <c r="F40" s="38" t="e">
        <f ca="1">IF(ASSETS!$A40="","",IF(UPPER(ASSETS!$H40)&lt;&gt;"TRUE","Disabled",HYPERLINK("http://127.0.0.1:5173/__dev/asset-source"&amp;"?assetId="&amp;_xludf.ENCODEURL(ASSETS!$A40)&amp;"&amp;sig="&amp;_xludf.ENCODEURL(ASSETS!$B40&amp;"|"&amp;ASSETS!$C40&amp;"|"&amp;ASSETS!$D40&amp;"|"&amp;ASSETS!$E40&amp;"|"&amp;ASSETS!$H40),"Open source")))</f>
        <v>#NAME?</v>
      </c>
      <c r="G40" s="38" t="e">
        <f ca="1">IF(ASSETS!$A40="","",IF(OR(UPPER(ASSETS!$H40)&lt;&gt;"TRUE",ASSETS!$I40=""),"Unavailable",HYPERLINK("http://127.0.0.1:5173/__dev/asset-resolved"&amp;"?assetId="&amp;_xludf.ENCODEURL(ASSETS!$A40)&amp;"&amp;sig="&amp;_xludf.ENCODEURL(ASSETS!$B40&amp;"|"&amp;ASSETS!$C40&amp;"|"&amp;ASSETS!$D40&amp;"|"&amp;ASSETS!$E40&amp;"|"&amp;ASSETS!$H40),"Open resolved")))</f>
        <v>#NAME?</v>
      </c>
    </row>
    <row r="41" spans="1:7" ht="85.95" customHeight="1" x14ac:dyDescent="0.3">
      <c r="A41" s="35" t="str">
        <f>IF(ASSETS!$A41="","",HYPERLINK("#'ASSETS'!A41",ASSETS!$A41))</f>
        <v>testimonial-client14</v>
      </c>
      <c r="B41" s="36" t="str">
        <f>IF(ASSETS!$A41="","",UPPER(ASSETS!$B41))</f>
        <v>IMAGE</v>
      </c>
      <c r="C41" s="37" t="e">
        <f ca="1">IF(ASSETS!$A41="","",_xludf.IMAGE("http://127.0.0.1:5173/__dev/asset-preview"&amp;"?assetId="&amp;_xludf.ENCODEURL(ASSETS!$A41)&amp;"&amp;sig="&amp;_xludf.ENCODEURL(ASSETS!$B41&amp;"|"&amp;ASSETS!$C41&amp;"|"&amp;ASSETS!$D41&amp;"|"&amp;ASSETS!$E41&amp;"|"&amp;ASSETS!$H41),"Preview"))</f>
        <v>#NAME?</v>
      </c>
      <c r="D41" s="36" t="str">
        <f>IF(ASSETS!$A41="","",ASSETS!$I41)</f>
        <v>/assets/testimonials/client14.jpg</v>
      </c>
      <c r="E41" s="36" t="str">
        <f>IF(ASSETS!$A41="","",ASSETS!$L41)</f>
        <v>unity-communication avatar</v>
      </c>
      <c r="F41" s="38" t="e">
        <f ca="1">IF(ASSETS!$A41="","",IF(UPPER(ASSETS!$H41)&lt;&gt;"TRUE","Disabled",HYPERLINK("http://127.0.0.1:5173/__dev/asset-source"&amp;"?assetId="&amp;_xludf.ENCODEURL(ASSETS!$A41)&amp;"&amp;sig="&amp;_xludf.ENCODEURL(ASSETS!$B41&amp;"|"&amp;ASSETS!$C41&amp;"|"&amp;ASSETS!$D41&amp;"|"&amp;ASSETS!$E41&amp;"|"&amp;ASSETS!$H41),"Open source")))</f>
        <v>#NAME?</v>
      </c>
      <c r="G41" s="38" t="e">
        <f ca="1">IF(ASSETS!$A41="","",IF(OR(UPPER(ASSETS!$H41)&lt;&gt;"TRUE",ASSETS!$I41=""),"Unavailable",HYPERLINK("http://127.0.0.1:5173/__dev/asset-resolved"&amp;"?assetId="&amp;_xludf.ENCODEURL(ASSETS!$A41)&amp;"&amp;sig="&amp;_xludf.ENCODEURL(ASSETS!$B41&amp;"|"&amp;ASSETS!$C41&amp;"|"&amp;ASSETS!$D41&amp;"|"&amp;ASSETS!$E41&amp;"|"&amp;ASSETS!$H41),"Open resolved")))</f>
        <v>#NAME?</v>
      </c>
    </row>
    <row r="42" spans="1:7" ht="85.95" customHeight="1" x14ac:dyDescent="0.3">
      <c r="A42" s="35" t="str">
        <f>IF(ASSETS!$A42="","",HYPERLINK("#'ASSETS'!A42",ASSETS!$A42))</f>
        <v>testimonial-client15</v>
      </c>
      <c r="B42" s="36" t="str">
        <f>IF(ASSETS!$A42="","",UPPER(ASSETS!$B42))</f>
        <v>IMAGE</v>
      </c>
      <c r="C42" s="37" t="e">
        <f ca="1">IF(ASSETS!$A42="","",_xludf.IMAGE("http://127.0.0.1:5173/__dev/asset-preview"&amp;"?assetId="&amp;_xludf.ENCODEURL(ASSETS!$A42)&amp;"&amp;sig="&amp;_xludf.ENCODEURL(ASSETS!$B42&amp;"|"&amp;ASSETS!$C42&amp;"|"&amp;ASSETS!$D42&amp;"|"&amp;ASSETS!$E42&amp;"|"&amp;ASSETS!$H42),"Preview"))</f>
        <v>#NAME?</v>
      </c>
      <c r="D42" s="36" t="str">
        <f>IF(ASSETS!$A42="","",ASSETS!$I42)</f>
        <v>/assets/testimonials/client15.jpg</v>
      </c>
      <c r="E42" s="36" t="str">
        <f>IF(ASSETS!$A42="","",ASSETS!$L42)</f>
        <v>unity-repeat-client avatar</v>
      </c>
      <c r="F42" s="38" t="e">
        <f ca="1">IF(ASSETS!$A42="","",IF(UPPER(ASSETS!$H42)&lt;&gt;"TRUE","Disabled",HYPERLINK("http://127.0.0.1:5173/__dev/asset-source"&amp;"?assetId="&amp;_xludf.ENCODEURL(ASSETS!$A42)&amp;"&amp;sig="&amp;_xludf.ENCODEURL(ASSETS!$B42&amp;"|"&amp;ASSETS!$C42&amp;"|"&amp;ASSETS!$D42&amp;"|"&amp;ASSETS!$E42&amp;"|"&amp;ASSETS!$H42),"Open source")))</f>
        <v>#NAME?</v>
      </c>
      <c r="G42" s="38" t="e">
        <f ca="1">IF(ASSETS!$A42="","",IF(OR(UPPER(ASSETS!$H42)&lt;&gt;"TRUE",ASSETS!$I42=""),"Unavailable",HYPERLINK("http://127.0.0.1:5173/__dev/asset-resolved"&amp;"?assetId="&amp;_xludf.ENCODEURL(ASSETS!$A42)&amp;"&amp;sig="&amp;_xludf.ENCODEURL(ASSETS!$B42&amp;"|"&amp;ASSETS!$C42&amp;"|"&amp;ASSETS!$D42&amp;"|"&amp;ASSETS!$E42&amp;"|"&amp;ASSETS!$H42),"Open resolved")))</f>
        <v>#NAME?</v>
      </c>
    </row>
    <row r="43" spans="1:7" ht="85.95" customHeight="1" x14ac:dyDescent="0.3">
      <c r="A43" s="35" t="str">
        <f>IF(ASSETS!$A43="","",HYPERLINK("#'ASSETS'!A43",ASSETS!$A43))</f>
        <v>testimonial-pack-smark</v>
      </c>
      <c r="B43" s="36" t="str">
        <f>IF(ASSETS!$A43="","",UPPER(ASSETS!$B43))</f>
        <v>IMAGE</v>
      </c>
      <c r="C43" s="37" t="e">
        <f ca="1">IF(ASSETS!$A43="","",_xludf.IMAGE("http://127.0.0.1:5173/__dev/asset-preview"&amp;"?assetId="&amp;_xludf.ENCODEURL(ASSETS!$A43)&amp;"&amp;sig="&amp;_xludf.ENCODEURL(ASSETS!$B43&amp;"|"&amp;ASSETS!$C43&amp;"|"&amp;ASSETS!$D43&amp;"|"&amp;ASSETS!$E43&amp;"|"&amp;ASSETS!$H43),"Preview"))</f>
        <v>#NAME?</v>
      </c>
      <c r="D43" s="36" t="str">
        <f>IF(ASSETS!$A43="","",ASSETS!$I43)</f>
        <v>/assets/testimonials/pack-smark.svg</v>
      </c>
      <c r="E43" s="36" t="str">
        <f>IF(ASSETS!$A43="","",ASSETS!$L43)</f>
        <v>No references</v>
      </c>
      <c r="F43" s="38" t="e">
        <f ca="1">IF(ASSETS!$A43="","",IF(UPPER(ASSETS!$H43)&lt;&gt;"TRUE","Disabled",HYPERLINK("http://127.0.0.1:5173/__dev/asset-source"&amp;"?assetId="&amp;_xludf.ENCODEURL(ASSETS!$A43)&amp;"&amp;sig="&amp;_xludf.ENCODEURL(ASSETS!$B43&amp;"|"&amp;ASSETS!$C43&amp;"|"&amp;ASSETS!$D43&amp;"|"&amp;ASSETS!$E43&amp;"|"&amp;ASSETS!$H43),"Open source")))</f>
        <v>#NAME?</v>
      </c>
      <c r="G43" s="38" t="e">
        <f ca="1">IF(ASSETS!$A43="","",IF(OR(UPPER(ASSETS!$H43)&lt;&gt;"TRUE",ASSETS!$I43=""),"Unavailable",HYPERLINK("http://127.0.0.1:5173/__dev/asset-resolved"&amp;"?assetId="&amp;_xludf.ENCODEURL(ASSETS!$A43)&amp;"&amp;sig="&amp;_xludf.ENCODEURL(ASSETS!$B43&amp;"|"&amp;ASSETS!$C43&amp;"|"&amp;ASSETS!$D43&amp;"|"&amp;ASSETS!$E43&amp;"|"&amp;ASSETS!$H43),"Open resolved")))</f>
        <v>#NAME?</v>
      </c>
    </row>
    <row r="44" spans="1:7" ht="85.95" customHeight="1" x14ac:dyDescent="0.3">
      <c r="A44" s="35" t="str">
        <f>IF(ASSETS!$A44="","",HYPERLINK("#'ASSETS'!A44",ASSETS!$A44))</f>
        <v>testimonial-pack-mountain</v>
      </c>
      <c r="B44" s="36" t="str">
        <f>IF(ASSETS!$A44="","",UPPER(ASSETS!$B44))</f>
        <v>IMAGE</v>
      </c>
      <c r="C44" s="37" t="e">
        <f ca="1">IF(ASSETS!$A44="","",_xludf.IMAGE("http://127.0.0.1:5173/__dev/asset-preview"&amp;"?assetId="&amp;_xludf.ENCODEURL(ASSETS!$A44)&amp;"&amp;sig="&amp;_xludf.ENCODEURL(ASSETS!$B44&amp;"|"&amp;ASSETS!$C44&amp;"|"&amp;ASSETS!$D44&amp;"|"&amp;ASSETS!$E44&amp;"|"&amp;ASSETS!$H44),"Preview"))</f>
        <v>#NAME?</v>
      </c>
      <c r="D44" s="36" t="str">
        <f>IF(ASSETS!$A44="","",ASSETS!$I44)</f>
        <v>/assets/testimonials/pack-mountain.svg</v>
      </c>
      <c r="E44" s="36" t="str">
        <f>IF(ASSETS!$A44="","",ASSETS!$L44)</f>
        <v>No references</v>
      </c>
      <c r="F44" s="38" t="e">
        <f ca="1">IF(ASSETS!$A44="","",IF(UPPER(ASSETS!$H44)&lt;&gt;"TRUE","Disabled",HYPERLINK("http://127.0.0.1:5173/__dev/asset-source"&amp;"?assetId="&amp;_xludf.ENCODEURL(ASSETS!$A44)&amp;"&amp;sig="&amp;_xludf.ENCODEURL(ASSETS!$B44&amp;"|"&amp;ASSETS!$C44&amp;"|"&amp;ASSETS!$D44&amp;"|"&amp;ASSETS!$E44&amp;"|"&amp;ASSETS!$H44),"Open source")))</f>
        <v>#NAME?</v>
      </c>
      <c r="G44" s="38" t="e">
        <f ca="1">IF(ASSETS!$A44="","",IF(OR(UPPER(ASSETS!$H44)&lt;&gt;"TRUE",ASSETS!$I44=""),"Unavailable",HYPERLINK("http://127.0.0.1:5173/__dev/asset-resolved"&amp;"?assetId="&amp;_xludf.ENCODEURL(ASSETS!$A44)&amp;"&amp;sig="&amp;_xludf.ENCODEURL(ASSETS!$B44&amp;"|"&amp;ASSETS!$C44&amp;"|"&amp;ASSETS!$D44&amp;"|"&amp;ASSETS!$E44&amp;"|"&amp;ASSETS!$H44),"Open resolved")))</f>
        <v>#NAME?</v>
      </c>
    </row>
    <row r="45" spans="1:7" ht="85.95" customHeight="1" x14ac:dyDescent="0.3">
      <c r="A45" s="35" t="str">
        <f>IF(ASSETS!$A45="","",HYPERLINK("#'ASSETS'!A45",ASSETS!$A45))</f>
        <v/>
      </c>
      <c r="B45" s="36" t="str">
        <f>IF(ASSETS!$A45="","",UPPER(ASSETS!$B45))</f>
        <v/>
      </c>
      <c r="C45" s="37" t="str">
        <f>IF(ASSETS!$A45="","",_xludf.IMAGE("http://127.0.0.1:5173/__dev/asset-preview"&amp;"?assetId="&amp;_xludf.ENCODEURL(ASSETS!$A45)&amp;"&amp;sig="&amp;_xludf.ENCODEURL(ASSETS!$B45&amp;"|"&amp;ASSETS!$C45&amp;"|"&amp;ASSETS!$D45&amp;"|"&amp;ASSETS!$E45&amp;"|"&amp;ASSETS!$H45),"Preview"))</f>
        <v/>
      </c>
      <c r="D45" s="36" t="str">
        <f>IF(ASSETS!$A45="","",ASSETS!$I45)</f>
        <v/>
      </c>
      <c r="E45" s="36" t="str">
        <f>IF(ASSETS!$A45="","",ASSETS!$L45)</f>
        <v/>
      </c>
      <c r="F45" s="38" t="str">
        <f>IF(ASSETS!$A45="","",IF(UPPER(ASSETS!$H45)&lt;&gt;"TRUE","Disabled",HYPERLINK("http://127.0.0.1:5173/__dev/asset-source"&amp;"?assetId="&amp;_xludf.ENCODEURL(ASSETS!$A45)&amp;"&amp;sig="&amp;_xludf.ENCODEURL(ASSETS!$B45&amp;"|"&amp;ASSETS!$C45&amp;"|"&amp;ASSETS!$D45&amp;"|"&amp;ASSETS!$E45&amp;"|"&amp;ASSETS!$H45),"Open source")))</f>
        <v/>
      </c>
      <c r="G45" s="38" t="str">
        <f>IF(ASSETS!$A45="","",IF(OR(UPPER(ASSETS!$H45)&lt;&gt;"TRUE",ASSETS!$I45=""),"Unavailable",HYPERLINK("http://127.0.0.1:5173/__dev/asset-resolved"&amp;"?assetId="&amp;_xludf.ENCODEURL(ASSETS!$A45)&amp;"&amp;sig="&amp;_xludf.ENCODEURL(ASSETS!$B45&amp;"|"&amp;ASSETS!$C45&amp;"|"&amp;ASSETS!$D45&amp;"|"&amp;ASSETS!$E45&amp;"|"&amp;ASSETS!$H45),"Open resolved")))</f>
        <v/>
      </c>
    </row>
    <row r="46" spans="1:7" ht="85.95" customHeight="1" x14ac:dyDescent="0.3">
      <c r="A46" s="35" t="str">
        <f>IF(ASSETS!$A46="","",HYPERLINK("#'ASSETS'!A46",ASSETS!$A46))</f>
        <v/>
      </c>
      <c r="B46" s="36" t="str">
        <f>IF(ASSETS!$A46="","",UPPER(ASSETS!$B46))</f>
        <v/>
      </c>
      <c r="C46" s="37" t="str">
        <f>IF(ASSETS!$A46="","",_xludf.IMAGE("http://127.0.0.1:5173/__dev/asset-preview"&amp;"?assetId="&amp;_xludf.ENCODEURL(ASSETS!$A46)&amp;"&amp;sig="&amp;_xludf.ENCODEURL(ASSETS!$B46&amp;"|"&amp;ASSETS!$C46&amp;"|"&amp;ASSETS!$D46&amp;"|"&amp;ASSETS!$E46&amp;"|"&amp;ASSETS!$H46),"Preview"))</f>
        <v/>
      </c>
      <c r="D46" s="36" t="str">
        <f>IF(ASSETS!$A46="","",ASSETS!$I46)</f>
        <v/>
      </c>
      <c r="E46" s="36" t="str">
        <f>IF(ASSETS!$A46="","",ASSETS!$L46)</f>
        <v/>
      </c>
      <c r="F46" s="38" t="str">
        <f>IF(ASSETS!$A46="","",IF(UPPER(ASSETS!$H46)&lt;&gt;"TRUE","Disabled",HYPERLINK("http://127.0.0.1:5173/__dev/asset-source"&amp;"?assetId="&amp;_xludf.ENCODEURL(ASSETS!$A46)&amp;"&amp;sig="&amp;_xludf.ENCODEURL(ASSETS!$B46&amp;"|"&amp;ASSETS!$C46&amp;"|"&amp;ASSETS!$D46&amp;"|"&amp;ASSETS!$E46&amp;"|"&amp;ASSETS!$H46),"Open source")))</f>
        <v/>
      </c>
      <c r="G46" s="38" t="str">
        <f>IF(ASSETS!$A46="","",IF(OR(UPPER(ASSETS!$H46)&lt;&gt;"TRUE",ASSETS!$I46=""),"Unavailable",HYPERLINK("http://127.0.0.1:5173/__dev/asset-resolved"&amp;"?assetId="&amp;_xludf.ENCODEURL(ASSETS!$A46)&amp;"&amp;sig="&amp;_xludf.ENCODEURL(ASSETS!$B46&amp;"|"&amp;ASSETS!$C46&amp;"|"&amp;ASSETS!$D46&amp;"|"&amp;ASSETS!$E46&amp;"|"&amp;ASSETS!$H46),"Open resolved")))</f>
        <v/>
      </c>
    </row>
    <row r="47" spans="1:7" ht="85.95" customHeight="1" x14ac:dyDescent="0.3">
      <c r="A47" s="35" t="str">
        <f>IF(ASSETS!$A47="","",HYPERLINK("#'ASSETS'!A47",ASSETS!$A47))</f>
        <v/>
      </c>
      <c r="B47" s="36" t="str">
        <f>IF(ASSETS!$A47="","",UPPER(ASSETS!$B47))</f>
        <v/>
      </c>
      <c r="C47" s="37" t="str">
        <f>IF(ASSETS!$A47="","",_xludf.IMAGE("http://127.0.0.1:5173/__dev/asset-preview"&amp;"?assetId="&amp;_xludf.ENCODEURL(ASSETS!$A47)&amp;"&amp;sig="&amp;_xludf.ENCODEURL(ASSETS!$B47&amp;"|"&amp;ASSETS!$C47&amp;"|"&amp;ASSETS!$D47&amp;"|"&amp;ASSETS!$E47&amp;"|"&amp;ASSETS!$H47),"Preview"))</f>
        <v/>
      </c>
      <c r="D47" s="36" t="str">
        <f>IF(ASSETS!$A47="","",ASSETS!$I47)</f>
        <v/>
      </c>
      <c r="E47" s="36" t="str">
        <f>IF(ASSETS!$A47="","",ASSETS!$L47)</f>
        <v/>
      </c>
      <c r="F47" s="38" t="str">
        <f>IF(ASSETS!$A47="","",IF(UPPER(ASSETS!$H47)&lt;&gt;"TRUE","Disabled",HYPERLINK("http://127.0.0.1:5173/__dev/asset-source"&amp;"?assetId="&amp;_xludf.ENCODEURL(ASSETS!$A47)&amp;"&amp;sig="&amp;_xludf.ENCODEURL(ASSETS!$B47&amp;"|"&amp;ASSETS!$C47&amp;"|"&amp;ASSETS!$D47&amp;"|"&amp;ASSETS!$E47&amp;"|"&amp;ASSETS!$H47),"Open source")))</f>
        <v/>
      </c>
      <c r="G47" s="38" t="str">
        <f>IF(ASSETS!$A47="","",IF(OR(UPPER(ASSETS!$H47)&lt;&gt;"TRUE",ASSETS!$I47=""),"Unavailable",HYPERLINK("http://127.0.0.1:5173/__dev/asset-resolved"&amp;"?assetId="&amp;_xludf.ENCODEURL(ASSETS!$A47)&amp;"&amp;sig="&amp;_xludf.ENCODEURL(ASSETS!$B47&amp;"|"&amp;ASSETS!$C47&amp;"|"&amp;ASSETS!$D47&amp;"|"&amp;ASSETS!$E47&amp;"|"&amp;ASSETS!$H47),"Open resolved")))</f>
        <v/>
      </c>
    </row>
    <row r="48" spans="1:7" ht="85.95" customHeight="1" x14ac:dyDescent="0.3">
      <c r="A48" s="35" t="str">
        <f>IF(ASSETS!$A48="","",HYPERLINK("#'ASSETS'!A48",ASSETS!$A48))</f>
        <v/>
      </c>
      <c r="B48" s="36" t="str">
        <f>IF(ASSETS!$A48="","",UPPER(ASSETS!$B48))</f>
        <v/>
      </c>
      <c r="C48" s="37" t="str">
        <f>IF(ASSETS!$A48="","",_xludf.IMAGE("http://127.0.0.1:5173/__dev/asset-preview"&amp;"?assetId="&amp;_xludf.ENCODEURL(ASSETS!$A48)&amp;"&amp;sig="&amp;_xludf.ENCODEURL(ASSETS!$B48&amp;"|"&amp;ASSETS!$C48&amp;"|"&amp;ASSETS!$D48&amp;"|"&amp;ASSETS!$E48&amp;"|"&amp;ASSETS!$H48),"Preview"))</f>
        <v/>
      </c>
      <c r="D48" s="36" t="str">
        <f>IF(ASSETS!$A48="","",ASSETS!$I48)</f>
        <v/>
      </c>
      <c r="E48" s="36" t="str">
        <f>IF(ASSETS!$A48="","",ASSETS!$L48)</f>
        <v/>
      </c>
      <c r="F48" s="38" t="str">
        <f>IF(ASSETS!$A48="","",IF(UPPER(ASSETS!$H48)&lt;&gt;"TRUE","Disabled",HYPERLINK("http://127.0.0.1:5173/__dev/asset-source"&amp;"?assetId="&amp;_xludf.ENCODEURL(ASSETS!$A48)&amp;"&amp;sig="&amp;_xludf.ENCODEURL(ASSETS!$B48&amp;"|"&amp;ASSETS!$C48&amp;"|"&amp;ASSETS!$D48&amp;"|"&amp;ASSETS!$E48&amp;"|"&amp;ASSETS!$H48),"Open source")))</f>
        <v/>
      </c>
      <c r="G48" s="38" t="str">
        <f>IF(ASSETS!$A48="","",IF(OR(UPPER(ASSETS!$H48)&lt;&gt;"TRUE",ASSETS!$I48=""),"Unavailable",HYPERLINK("http://127.0.0.1:5173/__dev/asset-resolved"&amp;"?assetId="&amp;_xludf.ENCODEURL(ASSETS!$A48)&amp;"&amp;sig="&amp;_xludf.ENCODEURL(ASSETS!$B48&amp;"|"&amp;ASSETS!$C48&amp;"|"&amp;ASSETS!$D48&amp;"|"&amp;ASSETS!$E48&amp;"|"&amp;ASSETS!$H48),"Open resolved")))</f>
        <v/>
      </c>
    </row>
    <row r="49" spans="1:7" ht="85.95" customHeight="1" x14ac:dyDescent="0.3">
      <c r="A49" s="35" t="str">
        <f>IF(ASSETS!$A49="","",HYPERLINK("#'ASSETS'!A49",ASSETS!$A49))</f>
        <v/>
      </c>
      <c r="B49" s="36" t="str">
        <f>IF(ASSETS!$A49="","",UPPER(ASSETS!$B49))</f>
        <v/>
      </c>
      <c r="C49" s="37" t="str">
        <f>IF(ASSETS!$A49="","",_xludf.IMAGE("http://127.0.0.1:5173/__dev/asset-preview"&amp;"?assetId="&amp;_xludf.ENCODEURL(ASSETS!$A49)&amp;"&amp;sig="&amp;_xludf.ENCODEURL(ASSETS!$B49&amp;"|"&amp;ASSETS!$C49&amp;"|"&amp;ASSETS!$D49&amp;"|"&amp;ASSETS!$E49&amp;"|"&amp;ASSETS!$H49),"Preview"))</f>
        <v/>
      </c>
      <c r="D49" s="36" t="str">
        <f>IF(ASSETS!$A49="","",ASSETS!$I49)</f>
        <v/>
      </c>
      <c r="E49" s="36" t="str">
        <f>IF(ASSETS!$A49="","",ASSETS!$L49)</f>
        <v/>
      </c>
      <c r="F49" s="38" t="str">
        <f>IF(ASSETS!$A49="","",IF(UPPER(ASSETS!$H49)&lt;&gt;"TRUE","Disabled",HYPERLINK("http://127.0.0.1:5173/__dev/asset-source"&amp;"?assetId="&amp;_xludf.ENCODEURL(ASSETS!$A49)&amp;"&amp;sig="&amp;_xludf.ENCODEURL(ASSETS!$B49&amp;"|"&amp;ASSETS!$C49&amp;"|"&amp;ASSETS!$D49&amp;"|"&amp;ASSETS!$E49&amp;"|"&amp;ASSETS!$H49),"Open source")))</f>
        <v/>
      </c>
      <c r="G49" s="38" t="str">
        <f>IF(ASSETS!$A49="","",IF(OR(UPPER(ASSETS!$H49)&lt;&gt;"TRUE",ASSETS!$I49=""),"Unavailable",HYPERLINK("http://127.0.0.1:5173/__dev/asset-resolved"&amp;"?assetId="&amp;_xludf.ENCODEURL(ASSETS!$A49)&amp;"&amp;sig="&amp;_xludf.ENCODEURL(ASSETS!$B49&amp;"|"&amp;ASSETS!$C49&amp;"|"&amp;ASSETS!$D49&amp;"|"&amp;ASSETS!$E49&amp;"|"&amp;ASSETS!$H49),"Open resolved")))</f>
        <v/>
      </c>
    </row>
    <row r="50" spans="1:7" ht="85.95" customHeight="1" x14ac:dyDescent="0.3">
      <c r="A50" s="35" t="str">
        <f>IF(ASSETS!$A50="","",HYPERLINK("#'ASSETS'!A50",ASSETS!$A50))</f>
        <v/>
      </c>
      <c r="B50" s="36" t="str">
        <f>IF(ASSETS!$A50="","",UPPER(ASSETS!$B50))</f>
        <v/>
      </c>
      <c r="C50" s="37" t="str">
        <f>IF(ASSETS!$A50="","",_xludf.IMAGE("http://127.0.0.1:5173/__dev/asset-preview"&amp;"?assetId="&amp;_xludf.ENCODEURL(ASSETS!$A50)&amp;"&amp;sig="&amp;_xludf.ENCODEURL(ASSETS!$B50&amp;"|"&amp;ASSETS!$C50&amp;"|"&amp;ASSETS!$D50&amp;"|"&amp;ASSETS!$E50&amp;"|"&amp;ASSETS!$H50),"Preview"))</f>
        <v/>
      </c>
      <c r="D50" s="36" t="str">
        <f>IF(ASSETS!$A50="","",ASSETS!$I50)</f>
        <v/>
      </c>
      <c r="E50" s="36" t="str">
        <f>IF(ASSETS!$A50="","",ASSETS!$L50)</f>
        <v/>
      </c>
      <c r="F50" s="38" t="str">
        <f>IF(ASSETS!$A50="","",IF(UPPER(ASSETS!$H50)&lt;&gt;"TRUE","Disabled",HYPERLINK("http://127.0.0.1:5173/__dev/asset-source"&amp;"?assetId="&amp;_xludf.ENCODEURL(ASSETS!$A50)&amp;"&amp;sig="&amp;_xludf.ENCODEURL(ASSETS!$B50&amp;"|"&amp;ASSETS!$C50&amp;"|"&amp;ASSETS!$D50&amp;"|"&amp;ASSETS!$E50&amp;"|"&amp;ASSETS!$H50),"Open source")))</f>
        <v/>
      </c>
      <c r="G50" s="38" t="str">
        <f>IF(ASSETS!$A50="","",IF(OR(UPPER(ASSETS!$H50)&lt;&gt;"TRUE",ASSETS!$I50=""),"Unavailable",HYPERLINK("http://127.0.0.1:5173/__dev/asset-resolved"&amp;"?assetId="&amp;_xludf.ENCODEURL(ASSETS!$A50)&amp;"&amp;sig="&amp;_xludf.ENCODEURL(ASSETS!$B50&amp;"|"&amp;ASSETS!$C50&amp;"|"&amp;ASSETS!$D50&amp;"|"&amp;ASSETS!$E50&amp;"|"&amp;ASSETS!$H50),"Open resolved")))</f>
        <v/>
      </c>
    </row>
    <row r="51" spans="1:7" ht="85.95" customHeight="1" x14ac:dyDescent="0.3">
      <c r="A51" s="35" t="str">
        <f>IF(ASSETS!$A51="","",HYPERLINK("#'ASSETS'!A51",ASSETS!$A51))</f>
        <v/>
      </c>
      <c r="B51" s="36" t="str">
        <f>IF(ASSETS!$A51="","",UPPER(ASSETS!$B51))</f>
        <v/>
      </c>
      <c r="C51" s="37" t="str">
        <f>IF(ASSETS!$A51="","",_xludf.IMAGE("http://127.0.0.1:5173/__dev/asset-preview"&amp;"?assetId="&amp;_xludf.ENCODEURL(ASSETS!$A51)&amp;"&amp;sig="&amp;_xludf.ENCODEURL(ASSETS!$B51&amp;"|"&amp;ASSETS!$C51&amp;"|"&amp;ASSETS!$D51&amp;"|"&amp;ASSETS!$E51&amp;"|"&amp;ASSETS!$H51),"Preview"))</f>
        <v/>
      </c>
      <c r="D51" s="36" t="str">
        <f>IF(ASSETS!$A51="","",ASSETS!$I51)</f>
        <v/>
      </c>
      <c r="E51" s="36" t="str">
        <f>IF(ASSETS!$A51="","",ASSETS!$L51)</f>
        <v/>
      </c>
      <c r="F51" s="38" t="str">
        <f>IF(ASSETS!$A51="","",IF(UPPER(ASSETS!$H51)&lt;&gt;"TRUE","Disabled",HYPERLINK("http://127.0.0.1:5173/__dev/asset-source"&amp;"?assetId="&amp;_xludf.ENCODEURL(ASSETS!$A51)&amp;"&amp;sig="&amp;_xludf.ENCODEURL(ASSETS!$B51&amp;"|"&amp;ASSETS!$C51&amp;"|"&amp;ASSETS!$D51&amp;"|"&amp;ASSETS!$E51&amp;"|"&amp;ASSETS!$H51),"Open source")))</f>
        <v/>
      </c>
      <c r="G51" s="38" t="str">
        <f>IF(ASSETS!$A51="","",IF(OR(UPPER(ASSETS!$H51)&lt;&gt;"TRUE",ASSETS!$I51=""),"Unavailable",HYPERLINK("http://127.0.0.1:5173/__dev/asset-resolved"&amp;"?assetId="&amp;_xludf.ENCODEURL(ASSETS!$A51)&amp;"&amp;sig="&amp;_xludf.ENCODEURL(ASSETS!$B51&amp;"|"&amp;ASSETS!$C51&amp;"|"&amp;ASSETS!$D51&amp;"|"&amp;ASSETS!$E51&amp;"|"&amp;ASSETS!$H51),"Open resolved")))</f>
        <v/>
      </c>
    </row>
    <row r="52" spans="1:7" ht="85.95" customHeight="1" x14ac:dyDescent="0.3">
      <c r="A52" s="35" t="str">
        <f>IF(ASSETS!$A52="","",HYPERLINK("#'ASSETS'!A52",ASSETS!$A52))</f>
        <v/>
      </c>
      <c r="B52" s="36" t="str">
        <f>IF(ASSETS!$A52="","",UPPER(ASSETS!$B52))</f>
        <v/>
      </c>
      <c r="C52" s="37" t="str">
        <f>IF(ASSETS!$A52="","",_xludf.IMAGE("http://127.0.0.1:5173/__dev/asset-preview"&amp;"?assetId="&amp;_xludf.ENCODEURL(ASSETS!$A52)&amp;"&amp;sig="&amp;_xludf.ENCODEURL(ASSETS!$B52&amp;"|"&amp;ASSETS!$C52&amp;"|"&amp;ASSETS!$D52&amp;"|"&amp;ASSETS!$E52&amp;"|"&amp;ASSETS!$H52),"Preview"))</f>
        <v/>
      </c>
      <c r="D52" s="36" t="str">
        <f>IF(ASSETS!$A52="","",ASSETS!$I52)</f>
        <v/>
      </c>
      <c r="E52" s="36" t="str">
        <f>IF(ASSETS!$A52="","",ASSETS!$L52)</f>
        <v/>
      </c>
      <c r="F52" s="38" t="str">
        <f>IF(ASSETS!$A52="","",IF(UPPER(ASSETS!$H52)&lt;&gt;"TRUE","Disabled",HYPERLINK("http://127.0.0.1:5173/__dev/asset-source"&amp;"?assetId="&amp;_xludf.ENCODEURL(ASSETS!$A52)&amp;"&amp;sig="&amp;_xludf.ENCODEURL(ASSETS!$B52&amp;"|"&amp;ASSETS!$C52&amp;"|"&amp;ASSETS!$D52&amp;"|"&amp;ASSETS!$E52&amp;"|"&amp;ASSETS!$H52),"Open source")))</f>
        <v/>
      </c>
      <c r="G52" s="38" t="str">
        <f>IF(ASSETS!$A52="","",IF(OR(UPPER(ASSETS!$H52)&lt;&gt;"TRUE",ASSETS!$I52=""),"Unavailable",HYPERLINK("http://127.0.0.1:5173/__dev/asset-resolved"&amp;"?assetId="&amp;_xludf.ENCODEURL(ASSETS!$A52)&amp;"&amp;sig="&amp;_xludf.ENCODEURL(ASSETS!$B52&amp;"|"&amp;ASSETS!$C52&amp;"|"&amp;ASSETS!$D52&amp;"|"&amp;ASSETS!$E52&amp;"|"&amp;ASSETS!$H52),"Open resolved")))</f>
        <v/>
      </c>
    </row>
    <row r="53" spans="1:7" ht="85.95" customHeight="1" x14ac:dyDescent="0.3">
      <c r="A53" s="35" t="str">
        <f>IF(ASSETS!$A53="","",HYPERLINK("#'ASSETS'!A53",ASSETS!$A53))</f>
        <v/>
      </c>
      <c r="B53" s="36" t="str">
        <f>IF(ASSETS!$A53="","",UPPER(ASSETS!$B53))</f>
        <v/>
      </c>
      <c r="C53" s="37" t="str">
        <f>IF(ASSETS!$A53="","",_xludf.IMAGE("http://127.0.0.1:5173/__dev/asset-preview"&amp;"?assetId="&amp;_xludf.ENCODEURL(ASSETS!$A53)&amp;"&amp;sig="&amp;_xludf.ENCODEURL(ASSETS!$B53&amp;"|"&amp;ASSETS!$C53&amp;"|"&amp;ASSETS!$D53&amp;"|"&amp;ASSETS!$E53&amp;"|"&amp;ASSETS!$H53),"Preview"))</f>
        <v/>
      </c>
      <c r="D53" s="36" t="str">
        <f>IF(ASSETS!$A53="","",ASSETS!$I53)</f>
        <v/>
      </c>
      <c r="E53" s="36" t="str">
        <f>IF(ASSETS!$A53="","",ASSETS!$L53)</f>
        <v/>
      </c>
      <c r="F53" s="38" t="str">
        <f>IF(ASSETS!$A53="","",IF(UPPER(ASSETS!$H53)&lt;&gt;"TRUE","Disabled",HYPERLINK("http://127.0.0.1:5173/__dev/asset-source"&amp;"?assetId="&amp;_xludf.ENCODEURL(ASSETS!$A53)&amp;"&amp;sig="&amp;_xludf.ENCODEURL(ASSETS!$B53&amp;"|"&amp;ASSETS!$C53&amp;"|"&amp;ASSETS!$D53&amp;"|"&amp;ASSETS!$E53&amp;"|"&amp;ASSETS!$H53),"Open source")))</f>
        <v/>
      </c>
      <c r="G53" s="38" t="str">
        <f>IF(ASSETS!$A53="","",IF(OR(UPPER(ASSETS!$H53)&lt;&gt;"TRUE",ASSETS!$I53=""),"Unavailable",HYPERLINK("http://127.0.0.1:5173/__dev/asset-resolved"&amp;"?assetId="&amp;_xludf.ENCODEURL(ASSETS!$A53)&amp;"&amp;sig="&amp;_xludf.ENCODEURL(ASSETS!$B53&amp;"|"&amp;ASSETS!$C53&amp;"|"&amp;ASSETS!$D53&amp;"|"&amp;ASSETS!$E53&amp;"|"&amp;ASSETS!$H53),"Open resolved")))</f>
        <v/>
      </c>
    </row>
    <row r="54" spans="1:7" ht="85.95" customHeight="1" x14ac:dyDescent="0.3">
      <c r="A54" s="35" t="str">
        <f>IF(ASSETS!$A54="","",HYPERLINK("#'ASSETS'!A54",ASSETS!$A54))</f>
        <v/>
      </c>
      <c r="B54" s="36" t="str">
        <f>IF(ASSETS!$A54="","",UPPER(ASSETS!$B54))</f>
        <v/>
      </c>
      <c r="C54" s="37" t="str">
        <f>IF(ASSETS!$A54="","",_xludf.IMAGE("http://127.0.0.1:5173/__dev/asset-preview"&amp;"?assetId="&amp;_xludf.ENCODEURL(ASSETS!$A54)&amp;"&amp;sig="&amp;_xludf.ENCODEURL(ASSETS!$B54&amp;"|"&amp;ASSETS!$C54&amp;"|"&amp;ASSETS!$D54&amp;"|"&amp;ASSETS!$E54&amp;"|"&amp;ASSETS!$H54),"Preview"))</f>
        <v/>
      </c>
      <c r="D54" s="36" t="str">
        <f>IF(ASSETS!$A54="","",ASSETS!$I54)</f>
        <v/>
      </c>
      <c r="E54" s="36" t="str">
        <f>IF(ASSETS!$A54="","",ASSETS!$L54)</f>
        <v/>
      </c>
      <c r="F54" s="38" t="str">
        <f>IF(ASSETS!$A54="","",IF(UPPER(ASSETS!$H54)&lt;&gt;"TRUE","Disabled",HYPERLINK("http://127.0.0.1:5173/__dev/asset-source"&amp;"?assetId="&amp;_xludf.ENCODEURL(ASSETS!$A54)&amp;"&amp;sig="&amp;_xludf.ENCODEURL(ASSETS!$B54&amp;"|"&amp;ASSETS!$C54&amp;"|"&amp;ASSETS!$D54&amp;"|"&amp;ASSETS!$E54&amp;"|"&amp;ASSETS!$H54),"Open source")))</f>
        <v/>
      </c>
      <c r="G54" s="38" t="str">
        <f>IF(ASSETS!$A54="","",IF(OR(UPPER(ASSETS!$H54)&lt;&gt;"TRUE",ASSETS!$I54=""),"Unavailable",HYPERLINK("http://127.0.0.1:5173/__dev/asset-resolved"&amp;"?assetId="&amp;_xludf.ENCODEURL(ASSETS!$A54)&amp;"&amp;sig="&amp;_xludf.ENCODEURL(ASSETS!$B54&amp;"|"&amp;ASSETS!$C54&amp;"|"&amp;ASSETS!$D54&amp;"|"&amp;ASSETS!$E54&amp;"|"&amp;ASSETS!$H54),"Open resolved")))</f>
        <v/>
      </c>
    </row>
  </sheetData>
  <autoFilter ref="A8:G8" xr:uid="{00000000-0009-0000-0000-000009000000}"/>
  <mergeCells count="5">
    <mergeCell ref="A1:G1"/>
    <mergeCell ref="A2:G2"/>
    <mergeCell ref="A3:G3"/>
    <mergeCell ref="A5:G5"/>
    <mergeCell ref="A7:G7"/>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s>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88" t="s">
        <v>42</v>
      </c>
      <c r="B1" s="88"/>
      <c r="C1" s="88"/>
      <c r="D1" s="88"/>
      <c r="E1" s="88"/>
    </row>
    <row r="2" spans="1:5" ht="22.05" customHeight="1" x14ac:dyDescent="0.3">
      <c r="A2" s="89" t="s">
        <v>523</v>
      </c>
      <c r="B2" s="89"/>
      <c r="C2" s="89"/>
      <c r="D2" s="89"/>
      <c r="E2" s="89"/>
    </row>
    <row r="3" spans="1:5" ht="19.95" customHeight="1" x14ac:dyDescent="0.3">
      <c r="A3" s="100" t="s">
        <v>524</v>
      </c>
      <c r="B3" s="100"/>
      <c r="C3" s="100"/>
      <c r="D3" s="100"/>
      <c r="E3" s="100"/>
    </row>
    <row r="4" spans="1:5" ht="19.95" customHeight="1" x14ac:dyDescent="0.3">
      <c r="A4" s="39" t="s">
        <v>61</v>
      </c>
      <c r="B4" s="39" t="s">
        <v>177</v>
      </c>
      <c r="C4" s="39" t="s">
        <v>47</v>
      </c>
      <c r="D4" s="39" t="s">
        <v>78</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526</v>
      </c>
      <c r="B8" s="14" t="s">
        <v>527</v>
      </c>
      <c r="C8" s="14" t="s">
        <v>528</v>
      </c>
      <c r="D8" s="14" t="s">
        <v>529</v>
      </c>
      <c r="E8" s="15" t="s">
        <v>196</v>
      </c>
    </row>
    <row r="9" spans="1:5" ht="14.4" x14ac:dyDescent="0.3">
      <c r="A9" s="16" t="s">
        <v>530</v>
      </c>
      <c r="B9" s="16" t="s">
        <v>531</v>
      </c>
      <c r="C9" s="16" t="s">
        <v>44</v>
      </c>
      <c r="D9" s="16" t="s">
        <v>532</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1:E1"/>
    <mergeCell ref="A2:E2"/>
    <mergeCell ref="A3:E3"/>
    <mergeCell ref="A5:E5"/>
    <mergeCell ref="A7:E7"/>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88" t="s">
        <v>47</v>
      </c>
      <c r="B1" s="88"/>
      <c r="C1" s="88"/>
      <c r="D1" s="88"/>
      <c r="E1" s="88"/>
      <c r="F1" s="88"/>
    </row>
    <row r="2" spans="1:6" ht="22.05" customHeight="1" x14ac:dyDescent="0.3">
      <c r="A2" s="89" t="s">
        <v>533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42</v>
      </c>
      <c r="D4" s="39" t="s">
        <v>78</v>
      </c>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233</v>
      </c>
      <c r="B8" s="14" t="s">
        <v>185</v>
      </c>
      <c r="C8" s="14" t="s">
        <v>534</v>
      </c>
      <c r="D8" s="14" t="s">
        <v>246</v>
      </c>
      <c r="E8" s="14" t="s">
        <v>245</v>
      </c>
      <c r="F8" s="15" t="s">
        <v>196</v>
      </c>
    </row>
    <row r="9" spans="1:6" ht="14.4" x14ac:dyDescent="0.3">
      <c r="A9" s="16" t="s">
        <v>535</v>
      </c>
      <c r="B9" s="16" t="s">
        <v>536</v>
      </c>
      <c r="C9" s="16" t="s">
        <v>537</v>
      </c>
      <c r="D9" s="24" t="s">
        <v>98</v>
      </c>
      <c r="E9" s="16">
        <v>1</v>
      </c>
      <c r="F9" s="19" t="s">
        <v>538</v>
      </c>
    </row>
    <row r="10" spans="1:6" ht="14.4" x14ac:dyDescent="0.3">
      <c r="A10" s="20" t="s">
        <v>111</v>
      </c>
      <c r="B10" s="20" t="s">
        <v>539</v>
      </c>
      <c r="C10" s="20" t="s">
        <v>540</v>
      </c>
      <c r="D10" s="26" t="s">
        <v>98</v>
      </c>
      <c r="E10" s="20">
        <v>2</v>
      </c>
      <c r="F10" s="19" t="s">
        <v>538</v>
      </c>
    </row>
    <row r="11" spans="1:6" ht="14.4" x14ac:dyDescent="0.3">
      <c r="A11" s="16" t="s">
        <v>123</v>
      </c>
      <c r="B11" s="16" t="s">
        <v>541</v>
      </c>
      <c r="C11" s="16" t="s">
        <v>542</v>
      </c>
      <c r="D11" s="24" t="s">
        <v>98</v>
      </c>
      <c r="E11" s="16">
        <v>3</v>
      </c>
      <c r="F11" s="19" t="s">
        <v>538</v>
      </c>
    </row>
    <row r="12" spans="1:6" ht="14.4" x14ac:dyDescent="0.3">
      <c r="A12" s="20" t="s">
        <v>543</v>
      </c>
      <c r="B12" s="20" t="s">
        <v>544</v>
      </c>
      <c r="C12" s="20" t="s">
        <v>545</v>
      </c>
      <c r="D12" s="26" t="s">
        <v>98</v>
      </c>
      <c r="E12" s="20">
        <v>4</v>
      </c>
      <c r="F12" s="19" t="s">
        <v>538</v>
      </c>
    </row>
    <row r="13" spans="1:6" ht="14.4" x14ac:dyDescent="0.3">
      <c r="A13" s="16" t="s">
        <v>140</v>
      </c>
      <c r="B13" s="16" t="s">
        <v>546</v>
      </c>
      <c r="C13" s="16" t="s">
        <v>547</v>
      </c>
      <c r="D13" s="24" t="s">
        <v>112</v>
      </c>
      <c r="E13" s="16">
        <v>5</v>
      </c>
      <c r="F13" s="19" t="s">
        <v>548</v>
      </c>
    </row>
    <row r="14" spans="1:6" ht="14.4" x14ac:dyDescent="0.3">
      <c r="A14" s="20" t="s">
        <v>549</v>
      </c>
      <c r="B14" s="20" t="s">
        <v>79</v>
      </c>
      <c r="C14" s="20" t="s">
        <v>550</v>
      </c>
      <c r="D14" s="26" t="s">
        <v>98</v>
      </c>
      <c r="E14" s="20">
        <v>6</v>
      </c>
      <c r="F14" s="19" t="s">
        <v>538</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1:F1"/>
    <mergeCell ref="A2:F2"/>
    <mergeCell ref="A3:F3"/>
    <mergeCell ref="A5:F5"/>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88" t="s">
        <v>43</v>
      </c>
      <c r="B1" s="88"/>
      <c r="C1" s="88"/>
      <c r="D1" s="88"/>
    </row>
    <row r="2" spans="1:4" ht="22.05" customHeight="1" x14ac:dyDescent="0.3">
      <c r="A2" s="89" t="s">
        <v>551</v>
      </c>
      <c r="B2" s="89"/>
      <c r="C2" s="89"/>
      <c r="D2" s="89"/>
    </row>
    <row r="3" spans="1:4" ht="19.95" customHeight="1" x14ac:dyDescent="0.3">
      <c r="A3" s="100" t="s">
        <v>524</v>
      </c>
      <c r="B3" s="100"/>
      <c r="C3" s="100"/>
      <c r="D3" s="100"/>
    </row>
    <row r="4" spans="1:4" ht="19.95" customHeight="1" x14ac:dyDescent="0.3">
      <c r="A4" s="39" t="s">
        <v>61</v>
      </c>
      <c r="B4" s="39" t="s">
        <v>177</v>
      </c>
      <c r="C4" s="39" t="s">
        <v>28</v>
      </c>
      <c r="D4" s="39" t="s">
        <v>48</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552</v>
      </c>
      <c r="B8" s="14" t="s">
        <v>553</v>
      </c>
      <c r="C8" s="14" t="s">
        <v>245</v>
      </c>
      <c r="D8" s="15" t="s">
        <v>196</v>
      </c>
    </row>
    <row r="9" spans="1:4" ht="67.95" customHeight="1" x14ac:dyDescent="0.3">
      <c r="A9" s="16" t="s">
        <v>554</v>
      </c>
      <c r="B9" s="17" t="s">
        <v>555</v>
      </c>
      <c r="C9" s="16">
        <v>1</v>
      </c>
      <c r="D9" s="19" t="s">
        <v>207</v>
      </c>
    </row>
    <row r="10" spans="1:4" ht="67.95" customHeight="1" x14ac:dyDescent="0.3">
      <c r="A10" s="20" t="s">
        <v>556</v>
      </c>
      <c r="B10" s="21" t="s">
        <v>557</v>
      </c>
      <c r="C10" s="20">
        <v>2</v>
      </c>
      <c r="D10" s="19" t="s">
        <v>207</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2:D2"/>
    <mergeCell ref="A3:D3"/>
    <mergeCell ref="A5:D5"/>
    <mergeCell ref="A7:D7"/>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88" t="s">
        <v>48</v>
      </c>
      <c r="B1" s="88"/>
      <c r="C1" s="88"/>
      <c r="D1" s="88"/>
      <c r="E1" s="88"/>
    </row>
    <row r="2" spans="1:5" ht="22.05" customHeight="1" x14ac:dyDescent="0.3">
      <c r="A2" s="89" t="s">
        <v>558</v>
      </c>
      <c r="B2" s="89"/>
      <c r="C2" s="89"/>
      <c r="D2" s="89"/>
      <c r="E2" s="89"/>
    </row>
    <row r="3" spans="1:5" ht="19.95" customHeight="1" x14ac:dyDescent="0.3">
      <c r="A3" s="100" t="s">
        <v>524</v>
      </c>
      <c r="B3" s="100"/>
      <c r="C3" s="100"/>
      <c r="D3" s="100"/>
      <c r="E3" s="100"/>
    </row>
    <row r="4" spans="1:5" ht="19.95" customHeight="1" x14ac:dyDescent="0.3">
      <c r="A4" s="39" t="s">
        <v>61</v>
      </c>
      <c r="B4" s="39" t="s">
        <v>177</v>
      </c>
      <c r="C4" s="39" t="s">
        <v>28</v>
      </c>
      <c r="D4" s="39" t="s">
        <v>43</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233</v>
      </c>
      <c r="B8" s="14" t="s">
        <v>370</v>
      </c>
      <c r="C8" s="14" t="s">
        <v>559</v>
      </c>
      <c r="D8" s="14" t="s">
        <v>245</v>
      </c>
      <c r="E8" s="15" t="s">
        <v>196</v>
      </c>
    </row>
    <row r="9" spans="1:5" ht="14.4" x14ac:dyDescent="0.3">
      <c r="A9" s="16" t="s">
        <v>123</v>
      </c>
      <c r="B9" s="16" t="s">
        <v>560</v>
      </c>
      <c r="C9" s="16" t="s">
        <v>561</v>
      </c>
      <c r="D9" s="16">
        <v>1</v>
      </c>
      <c r="E9" s="19" t="s">
        <v>207</v>
      </c>
    </row>
    <row r="10" spans="1:5" ht="14.4" x14ac:dyDescent="0.3">
      <c r="A10" s="20" t="s">
        <v>562</v>
      </c>
      <c r="B10" s="20" t="s">
        <v>563</v>
      </c>
      <c r="C10" s="20" t="s">
        <v>564</v>
      </c>
      <c r="D10" s="20">
        <v>2</v>
      </c>
      <c r="E10" s="19" t="s">
        <v>207</v>
      </c>
    </row>
    <row r="11" spans="1:5" ht="14.4" x14ac:dyDescent="0.3">
      <c r="A11" s="16" t="s">
        <v>565</v>
      </c>
      <c r="B11" s="16" t="s">
        <v>566</v>
      </c>
      <c r="C11" s="16" t="s">
        <v>567</v>
      </c>
      <c r="D11" s="16">
        <v>3</v>
      </c>
      <c r="E11" s="19" t="s">
        <v>207</v>
      </c>
    </row>
    <row r="12" spans="1:5" ht="14.4" x14ac:dyDescent="0.3">
      <c r="A12" s="20" t="s">
        <v>568</v>
      </c>
      <c r="B12" s="20" t="s">
        <v>569</v>
      </c>
      <c r="C12" s="20" t="s">
        <v>570</v>
      </c>
      <c r="D12" s="20">
        <v>4</v>
      </c>
      <c r="E12" s="19" t="s">
        <v>207</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1:E1"/>
    <mergeCell ref="A2:E2"/>
    <mergeCell ref="A3:E3"/>
    <mergeCell ref="A5:E5"/>
    <mergeCell ref="A7:E7"/>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88" t="s">
        <v>53</v>
      </c>
      <c r="B1" s="88"/>
      <c r="C1" s="88"/>
      <c r="D1" s="88"/>
    </row>
    <row r="2" spans="1:4" ht="22.05" customHeight="1" x14ac:dyDescent="0.3">
      <c r="A2" s="89" t="s">
        <v>571</v>
      </c>
      <c r="B2" s="89"/>
      <c r="C2" s="89"/>
      <c r="D2" s="89"/>
    </row>
    <row r="3" spans="1:4" ht="19.95" customHeight="1" x14ac:dyDescent="0.3">
      <c r="A3" s="100" t="s">
        <v>524</v>
      </c>
      <c r="B3" s="100"/>
      <c r="C3" s="100"/>
      <c r="D3" s="100"/>
    </row>
    <row r="4" spans="1:4" ht="19.95" customHeight="1" x14ac:dyDescent="0.3">
      <c r="A4" s="39" t="s">
        <v>61</v>
      </c>
      <c r="B4" s="39" t="s">
        <v>177</v>
      </c>
      <c r="C4" s="39" t="s">
        <v>78</v>
      </c>
      <c r="D4" s="9"/>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370</v>
      </c>
      <c r="B8" s="14" t="s">
        <v>559</v>
      </c>
      <c r="C8" s="14" t="s">
        <v>245</v>
      </c>
      <c r="D8" s="15" t="s">
        <v>196</v>
      </c>
    </row>
    <row r="9" spans="1:4" ht="14.4" x14ac:dyDescent="0.3">
      <c r="A9" s="16" t="s">
        <v>572</v>
      </c>
      <c r="B9" s="16" t="s">
        <v>573</v>
      </c>
      <c r="C9" s="16">
        <v>1</v>
      </c>
      <c r="D9" s="19" t="s">
        <v>207</v>
      </c>
    </row>
    <row r="10" spans="1:4" ht="14.4" x14ac:dyDescent="0.3">
      <c r="A10" s="20" t="s">
        <v>574</v>
      </c>
      <c r="B10" s="20" t="s">
        <v>575</v>
      </c>
      <c r="C10" s="20">
        <v>2</v>
      </c>
      <c r="D10" s="19" t="s">
        <v>207</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2:D2"/>
    <mergeCell ref="A3:D3"/>
    <mergeCell ref="A5:D5"/>
    <mergeCell ref="A7:D7"/>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88" t="s">
        <v>44</v>
      </c>
      <c r="B1" s="88"/>
      <c r="C1" s="88"/>
      <c r="D1" s="88"/>
      <c r="E1" s="88"/>
      <c r="F1" s="88"/>
    </row>
    <row r="2" spans="1:6" ht="22.05" customHeight="1" x14ac:dyDescent="0.3">
      <c r="A2" s="89" t="s">
        <v>576</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49</v>
      </c>
      <c r="D4" s="39" t="s">
        <v>54</v>
      </c>
      <c r="E4" s="8"/>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8"/>
      <c r="F6" s="9"/>
    </row>
    <row r="7" spans="1:6" ht="22.05" customHeight="1" x14ac:dyDescent="0.3">
      <c r="A7" s="95" t="s">
        <v>184</v>
      </c>
      <c r="B7" s="95"/>
      <c r="C7" s="95"/>
      <c r="D7" s="95"/>
      <c r="E7" s="95"/>
      <c r="F7" s="95"/>
    </row>
    <row r="8" spans="1:6" ht="14.4" x14ac:dyDescent="0.3">
      <c r="A8" s="14" t="s">
        <v>577</v>
      </c>
      <c r="B8" s="14" t="s">
        <v>578</v>
      </c>
      <c r="C8" s="14" t="s">
        <v>579</v>
      </c>
      <c r="D8" s="14" t="s">
        <v>580</v>
      </c>
      <c r="E8" s="14" t="s">
        <v>581</v>
      </c>
      <c r="F8" s="15" t="s">
        <v>196</v>
      </c>
    </row>
    <row r="9" spans="1:6" ht="26.4" x14ac:dyDescent="0.3">
      <c r="A9" s="16" t="s">
        <v>582</v>
      </c>
      <c r="B9" s="16" t="s">
        <v>583</v>
      </c>
      <c r="C9" s="16" t="s">
        <v>584</v>
      </c>
      <c r="D9" s="17" t="s">
        <v>585</v>
      </c>
      <c r="E9" s="17" t="s">
        <v>586</v>
      </c>
      <c r="F9" s="19" t="s">
        <v>207</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1:F1"/>
    <mergeCell ref="A2:F2"/>
    <mergeCell ref="A3:F3"/>
    <mergeCell ref="A5:F5"/>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29"/>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88" t="s">
        <v>49</v>
      </c>
      <c r="B1" s="88"/>
      <c r="C1" s="88"/>
      <c r="D1" s="88"/>
      <c r="E1" s="88"/>
    </row>
    <row r="2" spans="1:5" ht="22.05" customHeight="1" x14ac:dyDescent="0.3">
      <c r="A2" s="89" t="s">
        <v>587</v>
      </c>
      <c r="B2" s="89"/>
      <c r="C2" s="89"/>
      <c r="D2" s="89"/>
      <c r="E2" s="89"/>
    </row>
    <row r="3" spans="1:5" ht="19.95" customHeight="1" x14ac:dyDescent="0.3">
      <c r="A3" s="100" t="s">
        <v>524</v>
      </c>
      <c r="B3" s="100"/>
      <c r="C3" s="100"/>
      <c r="D3" s="100"/>
      <c r="E3" s="100"/>
    </row>
    <row r="4" spans="1:5" ht="19.95" customHeight="1" x14ac:dyDescent="0.3">
      <c r="A4" s="39" t="s">
        <v>61</v>
      </c>
      <c r="B4" s="39" t="s">
        <v>177</v>
      </c>
      <c r="C4" s="39" t="s">
        <v>44</v>
      </c>
      <c r="D4" s="39" t="s">
        <v>54</v>
      </c>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588</v>
      </c>
      <c r="B8" s="14" t="s">
        <v>553</v>
      </c>
      <c r="C8" s="14" t="s">
        <v>589</v>
      </c>
      <c r="D8" s="14" t="s">
        <v>245</v>
      </c>
      <c r="E8" s="15" t="s">
        <v>196</v>
      </c>
    </row>
    <row r="9" spans="1:5" ht="14.4" x14ac:dyDescent="0.3">
      <c r="A9" s="16" t="s">
        <v>105</v>
      </c>
      <c r="B9" s="17" t="s">
        <v>590</v>
      </c>
      <c r="C9" s="16" t="s">
        <v>104</v>
      </c>
      <c r="D9" s="16">
        <v>1</v>
      </c>
      <c r="E9" s="19" t="s">
        <v>591</v>
      </c>
    </row>
    <row r="10" spans="1:5" ht="14.4" x14ac:dyDescent="0.3">
      <c r="A10" s="20" t="s">
        <v>105</v>
      </c>
      <c r="B10" s="21" t="s">
        <v>592</v>
      </c>
      <c r="C10" s="20" t="s">
        <v>116</v>
      </c>
      <c r="D10" s="20">
        <v>2</v>
      </c>
      <c r="E10" s="19" t="s">
        <v>591</v>
      </c>
    </row>
    <row r="11" spans="1:5" ht="14.4" x14ac:dyDescent="0.3">
      <c r="A11" s="16" t="s">
        <v>105</v>
      </c>
      <c r="B11" s="17" t="s">
        <v>593</v>
      </c>
      <c r="C11" s="16" t="s">
        <v>127</v>
      </c>
      <c r="D11" s="16">
        <v>3</v>
      </c>
      <c r="E11" s="19" t="s">
        <v>591</v>
      </c>
    </row>
    <row r="12" spans="1:5" ht="14.4" x14ac:dyDescent="0.3">
      <c r="A12" s="20" t="s">
        <v>105</v>
      </c>
      <c r="B12" s="21" t="s">
        <v>594</v>
      </c>
      <c r="C12" s="20" t="s">
        <v>135</v>
      </c>
      <c r="D12" s="20">
        <v>4</v>
      </c>
      <c r="E12" s="19" t="s">
        <v>591</v>
      </c>
    </row>
    <row r="13" spans="1:5" ht="14.4" x14ac:dyDescent="0.3">
      <c r="A13" s="16" t="s">
        <v>117</v>
      </c>
      <c r="B13" s="17" t="s">
        <v>595</v>
      </c>
      <c r="C13" s="16" t="s">
        <v>104</v>
      </c>
      <c r="D13" s="16">
        <v>1</v>
      </c>
      <c r="E13" s="19" t="s">
        <v>596</v>
      </c>
    </row>
    <row r="14" spans="1:5" ht="14.4" x14ac:dyDescent="0.3">
      <c r="A14" s="20" t="s">
        <v>117</v>
      </c>
      <c r="B14" s="21" t="s">
        <v>597</v>
      </c>
      <c r="C14" s="20" t="s">
        <v>104</v>
      </c>
      <c r="D14" s="20">
        <v>2</v>
      </c>
      <c r="E14" s="19" t="s">
        <v>596</v>
      </c>
    </row>
    <row r="15" spans="1:5" ht="14.4" x14ac:dyDescent="0.3">
      <c r="A15" s="16"/>
      <c r="B15" s="17"/>
      <c r="C15" s="16"/>
      <c r="D15" s="16"/>
      <c r="E15" s="22"/>
    </row>
    <row r="16" spans="1:5" ht="14.4" x14ac:dyDescent="0.3">
      <c r="A16" s="20"/>
      <c r="B16" s="21"/>
      <c r="C16" s="20"/>
      <c r="D16" s="20"/>
      <c r="E16" s="22"/>
    </row>
    <row r="17" spans="1:5" ht="14.4" x14ac:dyDescent="0.3">
      <c r="A17" s="16"/>
      <c r="B17" s="17"/>
      <c r="C17" s="16"/>
      <c r="D17" s="16"/>
      <c r="E17" s="22"/>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9"/>
      <c r="B25" s="8"/>
      <c r="C25" s="9"/>
      <c r="D25" s="9"/>
      <c r="E25" s="9"/>
    </row>
    <row r="26" spans="1:5" ht="14.4" x14ac:dyDescent="0.3">
      <c r="A26" s="9"/>
      <c r="B26" s="8"/>
      <c r="C26" s="9"/>
      <c r="D26" s="9"/>
      <c r="E26" s="9"/>
    </row>
    <row r="27" spans="1:5" ht="14.4" x14ac:dyDescent="0.3">
      <c r="A27" s="9"/>
      <c r="B27" s="8"/>
      <c r="C27" s="9"/>
      <c r="D27" s="9"/>
      <c r="E27" s="9"/>
    </row>
    <row r="28" spans="1:5" ht="14.4" x14ac:dyDescent="0.3">
      <c r="A28" s="9"/>
      <c r="B28" s="8"/>
      <c r="C28" s="9"/>
      <c r="D28" s="9"/>
      <c r="E28" s="9"/>
    </row>
    <row r="29" spans="1:5" ht="14.4" x14ac:dyDescent="0.3">
      <c r="A29" s="9"/>
      <c r="B29" s="8"/>
      <c r="C29" s="9"/>
      <c r="D29" s="9"/>
      <c r="E29" s="9"/>
    </row>
  </sheetData>
  <autoFilter ref="A8:E8" xr:uid="{00000000-0009-0000-0000-000010000000}"/>
  <mergeCells count="5">
    <mergeCell ref="A1:E1"/>
    <mergeCell ref="A2:E2"/>
    <mergeCell ref="A3:E3"/>
    <mergeCell ref="A5:E5"/>
    <mergeCell ref="A7:E7"/>
  </mergeCells>
  <dataValidations count="1">
    <dataValidation type="whole" operator="greaterThan" allowBlank="1" sqref="D9:D24"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A9:A24</xm:sqref>
        </x14:dataValidation>
        <x14:dataValidation type="list" allowBlank="1" xr:uid="{00000000-0002-0000-1000-000002000000}">
          <x14:formula1>
            <xm:f>_LOOKUPS!$G$2:$G$5</xm:f>
          </x14:formula1>
          <xm:sqref>C9:C24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88" t="s">
        <v>54</v>
      </c>
      <c r="B1" s="88"/>
      <c r="C1" s="88"/>
    </row>
    <row r="2" spans="1:3" ht="22.05" customHeight="1" x14ac:dyDescent="0.3">
      <c r="A2" s="89" t="s">
        <v>598</v>
      </c>
      <c r="B2" s="89"/>
      <c r="C2" s="89"/>
    </row>
    <row r="3" spans="1:3" ht="19.95" customHeight="1" x14ac:dyDescent="0.3">
      <c r="A3" s="100" t="s">
        <v>524</v>
      </c>
      <c r="B3" s="100"/>
      <c r="C3" s="100"/>
    </row>
    <row r="4" spans="1:3" ht="19.95" customHeight="1" x14ac:dyDescent="0.3">
      <c r="A4" s="39" t="s">
        <v>61</v>
      </c>
      <c r="B4" s="39" t="s">
        <v>177</v>
      </c>
      <c r="C4" s="39" t="s">
        <v>44</v>
      </c>
    </row>
    <row r="5" spans="1:3" ht="19.95" customHeight="1" x14ac:dyDescent="0.3">
      <c r="A5" s="39" t="s">
        <v>49</v>
      </c>
      <c r="B5" s="9"/>
      <c r="C5" s="9"/>
    </row>
    <row r="6" spans="1:3" ht="18" customHeight="1" x14ac:dyDescent="0.3">
      <c r="A6" s="10" t="s">
        <v>180</v>
      </c>
      <c r="B6" s="11" t="s">
        <v>181</v>
      </c>
      <c r="C6" s="12" t="s">
        <v>182</v>
      </c>
    </row>
    <row r="7" spans="1:3" ht="22.05" customHeight="1" x14ac:dyDescent="0.3">
      <c r="A7" s="95" t="s">
        <v>184</v>
      </c>
      <c r="B7" s="95"/>
      <c r="C7" s="95"/>
    </row>
    <row r="8" spans="1:3" ht="14.4" x14ac:dyDescent="0.3">
      <c r="A8" s="14" t="s">
        <v>553</v>
      </c>
      <c r="B8" s="14" t="s">
        <v>245</v>
      </c>
      <c r="C8" s="15" t="s">
        <v>196</v>
      </c>
    </row>
    <row r="9" spans="1:3" ht="14.4" x14ac:dyDescent="0.3">
      <c r="A9" s="17" t="s">
        <v>599</v>
      </c>
      <c r="B9" s="16">
        <v>1</v>
      </c>
      <c r="C9" s="19" t="s">
        <v>207</v>
      </c>
    </row>
    <row r="10" spans="1:3" ht="14.4" x14ac:dyDescent="0.3">
      <c r="A10" s="21" t="s">
        <v>600</v>
      </c>
      <c r="B10" s="20">
        <v>2</v>
      </c>
      <c r="C10" s="19" t="s">
        <v>207</v>
      </c>
    </row>
    <row r="11" spans="1:3" ht="14.4" x14ac:dyDescent="0.3">
      <c r="A11" s="17" t="s">
        <v>601</v>
      </c>
      <c r="B11" s="16">
        <v>3</v>
      </c>
      <c r="C11" s="19" t="s">
        <v>207</v>
      </c>
    </row>
    <row r="12" spans="1:3" ht="26.4" x14ac:dyDescent="0.3">
      <c r="A12" s="21" t="s">
        <v>602</v>
      </c>
      <c r="B12" s="20">
        <v>4</v>
      </c>
      <c r="C12" s="19" t="s">
        <v>207</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2:C2"/>
    <mergeCell ref="A3:C3"/>
    <mergeCell ref="A7:C7"/>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88" t="s">
        <v>52</v>
      </c>
      <c r="B1" s="88"/>
      <c r="C1" s="88"/>
      <c r="D1" s="88"/>
      <c r="E1" s="88"/>
      <c r="F1" s="88"/>
    </row>
    <row r="2" spans="1:6" ht="22.05" customHeight="1" x14ac:dyDescent="0.3">
      <c r="A2" s="89" t="s">
        <v>603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47</v>
      </c>
      <c r="D4" s="9"/>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604</v>
      </c>
      <c r="B8" s="14" t="s">
        <v>233</v>
      </c>
      <c r="C8" s="14" t="s">
        <v>605</v>
      </c>
      <c r="D8" s="14" t="s">
        <v>606</v>
      </c>
      <c r="E8" s="14" t="s">
        <v>245</v>
      </c>
      <c r="F8" s="15" t="s">
        <v>196</v>
      </c>
    </row>
    <row r="9" spans="1:6" ht="14.4" x14ac:dyDescent="0.3">
      <c r="A9" s="16" t="s">
        <v>111</v>
      </c>
      <c r="B9" s="16" t="s">
        <v>607</v>
      </c>
      <c r="C9" s="16" t="s">
        <v>608</v>
      </c>
      <c r="D9" s="16" t="s">
        <v>609</v>
      </c>
      <c r="E9" s="16">
        <v>1</v>
      </c>
      <c r="F9" s="19" t="s">
        <v>207</v>
      </c>
    </row>
    <row r="10" spans="1:6" ht="14.4" x14ac:dyDescent="0.3">
      <c r="A10" s="20" t="s">
        <v>123</v>
      </c>
      <c r="B10" s="20" t="s">
        <v>610</v>
      </c>
      <c r="C10" s="20" t="s">
        <v>611</v>
      </c>
      <c r="D10" s="20" t="s">
        <v>612</v>
      </c>
      <c r="E10" s="20">
        <v>2</v>
      </c>
      <c r="F10" s="19" t="s">
        <v>207</v>
      </c>
    </row>
    <row r="11" spans="1:6" ht="14.4" x14ac:dyDescent="0.3">
      <c r="A11" s="16" t="s">
        <v>132</v>
      </c>
      <c r="B11" s="16" t="s">
        <v>613</v>
      </c>
      <c r="C11" s="16" t="s">
        <v>614</v>
      </c>
      <c r="D11" s="16" t="s">
        <v>615</v>
      </c>
      <c r="E11" s="16">
        <v>3</v>
      </c>
      <c r="F11" s="19" t="s">
        <v>207</v>
      </c>
    </row>
    <row r="12" spans="1:6" ht="14.4" x14ac:dyDescent="0.3">
      <c r="A12" s="20" t="s">
        <v>140</v>
      </c>
      <c r="B12" s="20" t="s">
        <v>616</v>
      </c>
      <c r="C12" s="20" t="s">
        <v>617</v>
      </c>
      <c r="D12" s="20" t="s">
        <v>618</v>
      </c>
      <c r="E12" s="20">
        <v>4</v>
      </c>
      <c r="F12" s="19" t="s">
        <v>207</v>
      </c>
    </row>
    <row r="13" spans="1:6" ht="14.4" x14ac:dyDescent="0.3">
      <c r="A13" s="16" t="s">
        <v>143</v>
      </c>
      <c r="B13" s="16" t="s">
        <v>619</v>
      </c>
      <c r="C13" s="16" t="s">
        <v>620</v>
      </c>
      <c r="D13" s="16" t="s">
        <v>621</v>
      </c>
      <c r="E13" s="16">
        <v>5</v>
      </c>
      <c r="F13" s="19" t="s">
        <v>207</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1:F1"/>
    <mergeCell ref="A2:F2"/>
    <mergeCell ref="A3:F3"/>
    <mergeCell ref="A5:F5"/>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88" t="s">
        <v>45</v>
      </c>
      <c r="B1" s="88"/>
      <c r="C1" s="88"/>
      <c r="D1" s="88"/>
      <c r="E1" s="88"/>
      <c r="F1" s="88"/>
    </row>
    <row r="2" spans="1:6" ht="22.05" customHeight="1" x14ac:dyDescent="0.3">
      <c r="A2" s="89" t="s">
        <v>622</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50</v>
      </c>
      <c r="D4" s="9"/>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623</v>
      </c>
      <c r="B8" s="14" t="s">
        <v>234</v>
      </c>
      <c r="C8" s="14" t="s">
        <v>125</v>
      </c>
      <c r="D8" s="14" t="s">
        <v>589</v>
      </c>
      <c r="E8" s="14" t="s">
        <v>245</v>
      </c>
      <c r="F8" s="15" t="s">
        <v>196</v>
      </c>
    </row>
    <row r="9" spans="1:6" ht="14.4" x14ac:dyDescent="0.3">
      <c r="A9" s="16" t="s">
        <v>110</v>
      </c>
      <c r="B9" s="16" t="s">
        <v>624</v>
      </c>
      <c r="C9" s="16" t="s">
        <v>106</v>
      </c>
      <c r="D9" s="16" t="s">
        <v>104</v>
      </c>
      <c r="E9" s="16">
        <v>1</v>
      </c>
      <c r="F9" s="19" t="s">
        <v>207</v>
      </c>
    </row>
    <row r="10" spans="1:6" ht="14.4" x14ac:dyDescent="0.3">
      <c r="A10" s="20" t="s">
        <v>122</v>
      </c>
      <c r="B10" s="20" t="s">
        <v>625</v>
      </c>
      <c r="C10" s="20" t="s">
        <v>118</v>
      </c>
      <c r="D10" s="20" t="s">
        <v>116</v>
      </c>
      <c r="E10" s="20">
        <v>2</v>
      </c>
      <c r="F10" s="19" t="s">
        <v>207</v>
      </c>
    </row>
    <row r="11" spans="1:6" ht="14.4" x14ac:dyDescent="0.3">
      <c r="A11" s="16" t="s">
        <v>131</v>
      </c>
      <c r="B11" s="16" t="s">
        <v>626</v>
      </c>
      <c r="C11" s="16" t="s">
        <v>128</v>
      </c>
      <c r="D11" s="16" t="s">
        <v>104</v>
      </c>
      <c r="E11" s="16">
        <v>3</v>
      </c>
      <c r="F11" s="19" t="s">
        <v>207</v>
      </c>
    </row>
    <row r="12" spans="1:6" ht="14.4" x14ac:dyDescent="0.3">
      <c r="A12" s="20" t="s">
        <v>139</v>
      </c>
      <c r="B12" s="20" t="s">
        <v>627</v>
      </c>
      <c r="C12" s="20" t="s">
        <v>136</v>
      </c>
      <c r="D12" s="20" t="s">
        <v>116</v>
      </c>
      <c r="E12" s="20">
        <v>4</v>
      </c>
      <c r="F12" s="19" t="s">
        <v>207</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1:F1"/>
    <mergeCell ref="A2:F2"/>
    <mergeCell ref="A3:F3"/>
    <mergeCell ref="A5:F5"/>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88" t="s">
        <v>50</v>
      </c>
      <c r="B1" s="88"/>
      <c r="C1" s="88"/>
      <c r="D1" s="88"/>
    </row>
    <row r="2" spans="1:4" ht="22.05" customHeight="1" x14ac:dyDescent="0.3">
      <c r="A2" s="89" t="s">
        <v>628</v>
      </c>
      <c r="B2" s="89"/>
      <c r="C2" s="89"/>
      <c r="D2" s="89"/>
    </row>
    <row r="3" spans="1:4" ht="19.95" customHeight="1" x14ac:dyDescent="0.3">
      <c r="A3" s="100" t="s">
        <v>524</v>
      </c>
      <c r="B3" s="100"/>
      <c r="C3" s="100"/>
      <c r="D3" s="100"/>
    </row>
    <row r="4" spans="1:4" ht="19.95" customHeight="1" x14ac:dyDescent="0.3">
      <c r="A4" s="39" t="s">
        <v>61</v>
      </c>
      <c r="B4" s="39" t="s">
        <v>177</v>
      </c>
      <c r="C4" s="39" t="s">
        <v>45</v>
      </c>
      <c r="D4" s="9"/>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623</v>
      </c>
      <c r="B8" s="14" t="s">
        <v>370</v>
      </c>
      <c r="C8" s="14" t="s">
        <v>245</v>
      </c>
      <c r="D8" s="15" t="s">
        <v>196</v>
      </c>
    </row>
    <row r="9" spans="1:4" ht="14.4" x14ac:dyDescent="0.3">
      <c r="A9" s="16" t="s">
        <v>110</v>
      </c>
      <c r="B9" s="16" t="s">
        <v>629</v>
      </c>
      <c r="C9" s="16">
        <v>1</v>
      </c>
      <c r="D9" s="19" t="s">
        <v>207</v>
      </c>
    </row>
    <row r="10" spans="1:4" ht="14.4" x14ac:dyDescent="0.3">
      <c r="A10" s="20" t="s">
        <v>110</v>
      </c>
      <c r="B10" s="20" t="s">
        <v>630</v>
      </c>
      <c r="C10" s="20">
        <v>2</v>
      </c>
      <c r="D10" s="19" t="s">
        <v>207</v>
      </c>
    </row>
    <row r="11" spans="1:4" ht="14.4" x14ac:dyDescent="0.3">
      <c r="A11" s="16" t="s">
        <v>110</v>
      </c>
      <c r="B11" s="16" t="s">
        <v>631</v>
      </c>
      <c r="C11" s="16">
        <v>3</v>
      </c>
      <c r="D11" s="19" t="s">
        <v>207</v>
      </c>
    </row>
    <row r="12" spans="1:4" ht="14.4" x14ac:dyDescent="0.3">
      <c r="A12" s="20" t="s">
        <v>110</v>
      </c>
      <c r="B12" s="20" t="s">
        <v>632</v>
      </c>
      <c r="C12" s="20">
        <v>4</v>
      </c>
      <c r="D12" s="19" t="s">
        <v>207</v>
      </c>
    </row>
    <row r="13" spans="1:4" ht="14.4" x14ac:dyDescent="0.3">
      <c r="A13" s="16" t="s">
        <v>110</v>
      </c>
      <c r="B13" s="16" t="s">
        <v>633</v>
      </c>
      <c r="C13" s="16">
        <v>5</v>
      </c>
      <c r="D13" s="19" t="s">
        <v>207</v>
      </c>
    </row>
    <row r="14" spans="1:4" ht="14.4" x14ac:dyDescent="0.3">
      <c r="A14" s="20" t="s">
        <v>110</v>
      </c>
      <c r="B14" s="20" t="s">
        <v>634</v>
      </c>
      <c r="C14" s="20">
        <v>6</v>
      </c>
      <c r="D14" s="19" t="s">
        <v>207</v>
      </c>
    </row>
    <row r="15" spans="1:4" ht="14.4" x14ac:dyDescent="0.3">
      <c r="A15" s="16" t="s">
        <v>122</v>
      </c>
      <c r="B15" s="16" t="s">
        <v>635</v>
      </c>
      <c r="C15" s="16">
        <v>1</v>
      </c>
      <c r="D15" s="19" t="s">
        <v>207</v>
      </c>
    </row>
    <row r="16" spans="1:4" ht="14.4" x14ac:dyDescent="0.3">
      <c r="A16" s="20" t="s">
        <v>122</v>
      </c>
      <c r="B16" s="20" t="s">
        <v>636</v>
      </c>
      <c r="C16" s="20">
        <v>2</v>
      </c>
      <c r="D16" s="19" t="s">
        <v>207</v>
      </c>
    </row>
    <row r="17" spans="1:4" ht="14.4" x14ac:dyDescent="0.3">
      <c r="A17" s="16" t="s">
        <v>122</v>
      </c>
      <c r="B17" s="16" t="s">
        <v>637</v>
      </c>
      <c r="C17" s="16">
        <v>3</v>
      </c>
      <c r="D17" s="19" t="s">
        <v>207</v>
      </c>
    </row>
    <row r="18" spans="1:4" ht="14.4" x14ac:dyDescent="0.3">
      <c r="A18" s="20" t="s">
        <v>122</v>
      </c>
      <c r="B18" s="20" t="s">
        <v>638</v>
      </c>
      <c r="C18" s="20">
        <v>4</v>
      </c>
      <c r="D18" s="19" t="s">
        <v>207</v>
      </c>
    </row>
    <row r="19" spans="1:4" ht="14.4" x14ac:dyDescent="0.3">
      <c r="A19" s="16" t="s">
        <v>122</v>
      </c>
      <c r="B19" s="16" t="s">
        <v>639</v>
      </c>
      <c r="C19" s="16">
        <v>5</v>
      </c>
      <c r="D19" s="19" t="s">
        <v>207</v>
      </c>
    </row>
    <row r="20" spans="1:4" ht="14.4" x14ac:dyDescent="0.3">
      <c r="A20" s="20" t="s">
        <v>131</v>
      </c>
      <c r="B20" s="20" t="s">
        <v>640</v>
      </c>
      <c r="C20" s="20">
        <v>1</v>
      </c>
      <c r="D20" s="19" t="s">
        <v>207</v>
      </c>
    </row>
    <row r="21" spans="1:4" ht="14.4" x14ac:dyDescent="0.3">
      <c r="A21" s="16" t="s">
        <v>131</v>
      </c>
      <c r="B21" s="16" t="s">
        <v>641</v>
      </c>
      <c r="C21" s="16">
        <v>2</v>
      </c>
      <c r="D21" s="19" t="s">
        <v>207</v>
      </c>
    </row>
    <row r="22" spans="1:4" ht="14.4" x14ac:dyDescent="0.3">
      <c r="A22" s="20" t="s">
        <v>131</v>
      </c>
      <c r="B22" s="20" t="s">
        <v>642</v>
      </c>
      <c r="C22" s="20">
        <v>3</v>
      </c>
      <c r="D22" s="19" t="s">
        <v>207</v>
      </c>
    </row>
    <row r="23" spans="1:4" ht="14.4" x14ac:dyDescent="0.3">
      <c r="A23" s="16" t="s">
        <v>131</v>
      </c>
      <c r="B23" s="16" t="s">
        <v>643</v>
      </c>
      <c r="C23" s="16">
        <v>4</v>
      </c>
      <c r="D23" s="19" t="s">
        <v>207</v>
      </c>
    </row>
    <row r="24" spans="1:4" ht="14.4" x14ac:dyDescent="0.3">
      <c r="A24" s="20" t="s">
        <v>131</v>
      </c>
      <c r="B24" s="20" t="s">
        <v>644</v>
      </c>
      <c r="C24" s="20">
        <v>5</v>
      </c>
      <c r="D24" s="19" t="s">
        <v>207</v>
      </c>
    </row>
    <row r="25" spans="1:4" ht="14.4" x14ac:dyDescent="0.3">
      <c r="A25" s="16" t="s">
        <v>139</v>
      </c>
      <c r="B25" s="16" t="s">
        <v>645</v>
      </c>
      <c r="C25" s="16">
        <v>1</v>
      </c>
      <c r="D25" s="19" t="s">
        <v>207</v>
      </c>
    </row>
    <row r="26" spans="1:4" ht="14.4" x14ac:dyDescent="0.3">
      <c r="A26" s="20" t="s">
        <v>139</v>
      </c>
      <c r="B26" s="20" t="s">
        <v>646</v>
      </c>
      <c r="C26" s="20">
        <v>2</v>
      </c>
      <c r="D26" s="19" t="s">
        <v>207</v>
      </c>
    </row>
    <row r="27" spans="1:4" ht="14.4" x14ac:dyDescent="0.3">
      <c r="A27" s="16" t="s">
        <v>139</v>
      </c>
      <c r="B27" s="16" t="s">
        <v>647</v>
      </c>
      <c r="C27" s="16">
        <v>3</v>
      </c>
      <c r="D27" s="19" t="s">
        <v>207</v>
      </c>
    </row>
    <row r="28" spans="1:4" ht="14.4" x14ac:dyDescent="0.3">
      <c r="A28" s="20" t="s">
        <v>139</v>
      </c>
      <c r="B28" s="20" t="s">
        <v>648</v>
      </c>
      <c r="C28" s="20">
        <v>4</v>
      </c>
      <c r="D28" s="19" t="s">
        <v>207</v>
      </c>
    </row>
    <row r="29" spans="1:4" ht="14.4" x14ac:dyDescent="0.3">
      <c r="A29" s="16" t="s">
        <v>139</v>
      </c>
      <c r="B29" s="16" t="s">
        <v>649</v>
      </c>
      <c r="C29" s="16">
        <v>5</v>
      </c>
      <c r="D29" s="19" t="s">
        <v>207</v>
      </c>
    </row>
    <row r="30" spans="1:4" ht="14.4" x14ac:dyDescent="0.3">
      <c r="A30" s="20" t="s">
        <v>139</v>
      </c>
      <c r="B30" s="20" t="s">
        <v>650</v>
      </c>
      <c r="C30" s="20">
        <v>6</v>
      </c>
      <c r="D30" s="19" t="s">
        <v>207</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2:D2"/>
    <mergeCell ref="A3:D3"/>
    <mergeCell ref="A5:D5"/>
    <mergeCell ref="A7:D7"/>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55</v>
      </c>
      <c r="B1" s="88"/>
      <c r="C1" s="88"/>
      <c r="D1" s="88"/>
    </row>
    <row r="2" spans="1:4" ht="22.05" customHeight="1" x14ac:dyDescent="0.3">
      <c r="A2" s="89" t="s">
        <v>651</v>
      </c>
      <c r="B2" s="89"/>
      <c r="C2" s="89"/>
      <c r="D2" s="89"/>
    </row>
    <row r="3" spans="1:4" ht="19.95" customHeight="1" x14ac:dyDescent="0.3">
      <c r="A3" s="100" t="s">
        <v>524</v>
      </c>
      <c r="B3" s="100"/>
      <c r="C3" s="100"/>
      <c r="D3" s="100"/>
    </row>
    <row r="4" spans="1:4" ht="19.95" customHeight="1" x14ac:dyDescent="0.3">
      <c r="A4" s="39" t="s">
        <v>61</v>
      </c>
      <c r="B4" s="39" t="s">
        <v>177</v>
      </c>
      <c r="C4" s="39" t="s">
        <v>29</v>
      </c>
      <c r="D4" s="39" t="s">
        <v>57</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652</v>
      </c>
      <c r="B8" s="14" t="s">
        <v>370</v>
      </c>
      <c r="C8" s="14" t="s">
        <v>245</v>
      </c>
      <c r="D8" s="15" t="s">
        <v>196</v>
      </c>
    </row>
    <row r="9" spans="1:4" ht="14.4" x14ac:dyDescent="0.3">
      <c r="A9" s="18" t="s">
        <v>99</v>
      </c>
      <c r="B9" s="16" t="s">
        <v>641</v>
      </c>
      <c r="C9" s="16">
        <v>1</v>
      </c>
      <c r="D9" s="19" t="s">
        <v>207</v>
      </c>
    </row>
    <row r="10" spans="1:4" ht="14.4" x14ac:dyDescent="0.3">
      <c r="A10" s="25" t="s">
        <v>99</v>
      </c>
      <c r="B10" s="20" t="s">
        <v>630</v>
      </c>
      <c r="C10" s="20">
        <v>2</v>
      </c>
      <c r="D10" s="19" t="s">
        <v>207</v>
      </c>
    </row>
    <row r="11" spans="1:4" ht="14.4" x14ac:dyDescent="0.3">
      <c r="A11" s="18" t="s">
        <v>99</v>
      </c>
      <c r="B11" s="16" t="s">
        <v>644</v>
      </c>
      <c r="C11" s="16">
        <v>3</v>
      </c>
      <c r="D11" s="19" t="s">
        <v>207</v>
      </c>
    </row>
    <row r="12" spans="1:4" ht="14.4" x14ac:dyDescent="0.3">
      <c r="A12" s="25" t="s">
        <v>99</v>
      </c>
      <c r="B12" s="20" t="s">
        <v>643</v>
      </c>
      <c r="C12" s="20">
        <v>4</v>
      </c>
      <c r="D12" s="19" t="s">
        <v>207</v>
      </c>
    </row>
    <row r="13" spans="1:4" ht="14.4" x14ac:dyDescent="0.3">
      <c r="A13" s="18" t="s">
        <v>113</v>
      </c>
      <c r="B13" s="16" t="s">
        <v>629</v>
      </c>
      <c r="C13" s="16">
        <v>1</v>
      </c>
      <c r="D13" s="19" t="s">
        <v>207</v>
      </c>
    </row>
    <row r="14" spans="1:4" ht="14.4" x14ac:dyDescent="0.3">
      <c r="A14" s="25" t="s">
        <v>113</v>
      </c>
      <c r="B14" s="20" t="s">
        <v>653</v>
      </c>
      <c r="C14" s="20">
        <v>2</v>
      </c>
      <c r="D14" s="19" t="s">
        <v>207</v>
      </c>
    </row>
    <row r="15" spans="1:4" ht="14.4" x14ac:dyDescent="0.3">
      <c r="A15" s="18" t="s">
        <v>113</v>
      </c>
      <c r="B15" s="16" t="s">
        <v>654</v>
      </c>
      <c r="C15" s="16">
        <v>3</v>
      </c>
      <c r="D15" s="19" t="s">
        <v>207</v>
      </c>
    </row>
    <row r="16" spans="1:4" ht="14.4" x14ac:dyDescent="0.3">
      <c r="A16" s="25" t="s">
        <v>113</v>
      </c>
      <c r="B16" s="20" t="s">
        <v>646</v>
      </c>
      <c r="C16" s="20">
        <v>4</v>
      </c>
      <c r="D16" s="19" t="s">
        <v>207</v>
      </c>
    </row>
    <row r="17" spans="1:4" ht="14.4" x14ac:dyDescent="0.3">
      <c r="A17" s="18" t="s">
        <v>124</v>
      </c>
      <c r="B17" s="16" t="s">
        <v>655</v>
      </c>
      <c r="C17" s="16">
        <v>1</v>
      </c>
      <c r="D17" s="19" t="s">
        <v>207</v>
      </c>
    </row>
    <row r="18" spans="1:4" ht="14.4" x14ac:dyDescent="0.3">
      <c r="A18" s="25" t="s">
        <v>124</v>
      </c>
      <c r="B18" s="20" t="s">
        <v>645</v>
      </c>
      <c r="C18" s="20">
        <v>2</v>
      </c>
      <c r="D18" s="19" t="s">
        <v>207</v>
      </c>
    </row>
    <row r="19" spans="1:4" ht="14.4" x14ac:dyDescent="0.3">
      <c r="A19" s="18" t="s">
        <v>124</v>
      </c>
      <c r="B19" s="16" t="s">
        <v>656</v>
      </c>
      <c r="C19" s="16">
        <v>3</v>
      </c>
      <c r="D19" s="19" t="s">
        <v>207</v>
      </c>
    </row>
    <row r="20" spans="1:4" ht="14.4" x14ac:dyDescent="0.3">
      <c r="A20" s="25" t="s">
        <v>124</v>
      </c>
      <c r="B20" s="20" t="s">
        <v>657</v>
      </c>
      <c r="C20" s="20">
        <v>4</v>
      </c>
      <c r="D20" s="19" t="s">
        <v>207</v>
      </c>
    </row>
    <row r="21" spans="1:4" ht="14.4" x14ac:dyDescent="0.3">
      <c r="A21" s="18" t="s">
        <v>133</v>
      </c>
      <c r="B21" s="16" t="s">
        <v>629</v>
      </c>
      <c r="C21" s="16">
        <v>1</v>
      </c>
      <c r="D21" s="19" t="s">
        <v>207</v>
      </c>
    </row>
    <row r="22" spans="1:4" ht="14.4" x14ac:dyDescent="0.3">
      <c r="A22" s="25" t="s">
        <v>133</v>
      </c>
      <c r="B22" s="20" t="s">
        <v>636</v>
      </c>
      <c r="C22" s="20">
        <v>2</v>
      </c>
      <c r="D22" s="19" t="s">
        <v>207</v>
      </c>
    </row>
    <row r="23" spans="1:4" ht="14.4" x14ac:dyDescent="0.3">
      <c r="A23" s="18" t="s">
        <v>133</v>
      </c>
      <c r="B23" s="16" t="s">
        <v>658</v>
      </c>
      <c r="C23" s="16">
        <v>3</v>
      </c>
      <c r="D23" s="19" t="s">
        <v>207</v>
      </c>
    </row>
    <row r="24" spans="1:4" ht="14.4" x14ac:dyDescent="0.3">
      <c r="A24" s="25" t="s">
        <v>133</v>
      </c>
      <c r="B24" s="20" t="s">
        <v>659</v>
      </c>
      <c r="C24" s="20">
        <v>4</v>
      </c>
      <c r="D24" s="19" t="s">
        <v>207</v>
      </c>
    </row>
    <row r="25" spans="1:4" ht="14.4" x14ac:dyDescent="0.3">
      <c r="A25" s="18" t="s">
        <v>141</v>
      </c>
      <c r="B25" s="16" t="s">
        <v>660</v>
      </c>
      <c r="C25" s="16">
        <v>1</v>
      </c>
      <c r="D25" s="19" t="s">
        <v>207</v>
      </c>
    </row>
    <row r="26" spans="1:4" ht="14.4" x14ac:dyDescent="0.3">
      <c r="A26" s="25" t="s">
        <v>141</v>
      </c>
      <c r="B26" s="20" t="s">
        <v>661</v>
      </c>
      <c r="C26" s="20">
        <v>2</v>
      </c>
      <c r="D26" s="19" t="s">
        <v>207</v>
      </c>
    </row>
    <row r="27" spans="1:4" ht="14.4" x14ac:dyDescent="0.3">
      <c r="A27" s="18" t="s">
        <v>141</v>
      </c>
      <c r="B27" s="16" t="s">
        <v>662</v>
      </c>
      <c r="C27" s="16">
        <v>3</v>
      </c>
      <c r="D27" s="19" t="s">
        <v>207</v>
      </c>
    </row>
    <row r="28" spans="1:4" ht="14.4" x14ac:dyDescent="0.3">
      <c r="A28" s="25" t="s">
        <v>141</v>
      </c>
      <c r="B28" s="20" t="s">
        <v>663</v>
      </c>
      <c r="C28" s="20">
        <v>4</v>
      </c>
      <c r="D28" s="19" t="s">
        <v>207</v>
      </c>
    </row>
    <row r="29" spans="1:4" ht="14.4" x14ac:dyDescent="0.3">
      <c r="A29" s="16" t="inlineStr">
        <is>
          <t>6</t>
        </is>
      </c>
      <c r="B29" s="16" t="inlineStr">
        <is>
          <t>C# / .NET 8</t>
        </is>
      </c>
      <c r="C29" s="16">
        <v>1</v>
      </c>
      <c r="D29" s="22" t="inlineStr">
        <is>
          <t>READY</t>
        </is>
      </c>
    </row>
    <row r="30" spans="1:4" ht="14.4" x14ac:dyDescent="0.3">
      <c r="A30" s="20" t="inlineStr">
        <is>
          <t>6</t>
        </is>
      </c>
      <c r="B30" s="20" t="inlineStr">
        <is>
          <t>ESP32 / Arduino</t>
        </is>
      </c>
      <c r="C30" s="20">
        <v>2</v>
      </c>
      <c r="D30" s="22" t="inlineStr">
        <is>
          <t>READY</t>
        </is>
      </c>
    </row>
    <row r="31" spans="1:4" ht="14.4" x14ac:dyDescent="0.3">
      <c r="A31" s="16" t="inlineStr">
        <is>
          <t>6</t>
        </is>
      </c>
      <c r="B31" s="16" t="inlineStr">
        <is>
          <t>Firebase Realtime Database</t>
        </is>
      </c>
      <c r="C31" s="16">
        <v>3</v>
      </c>
      <c r="D31" s="22" t="inlineStr">
        <is>
          <t>READY</t>
        </is>
      </c>
    </row>
    <row r="32" spans="1:4" ht="14.4" x14ac:dyDescent="0.3">
      <c r="A32" s="20" t="inlineStr">
        <is>
          <t>6</t>
        </is>
      </c>
      <c r="B32" s="20" t="inlineStr">
        <is>
          <t>Tailscale + Moonlight</t>
        </is>
      </c>
      <c r="C32" s="20">
        <v>4</v>
      </c>
      <c r="D32" s="22" t="inlineStr">
        <is>
          <t>READY</t>
        </is>
      </c>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2:D2"/>
    <mergeCell ref="A3:D3"/>
    <mergeCell ref="A5:D5"/>
    <mergeCell ref="A7:D7"/>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57</v>
      </c>
      <c r="B1" s="88"/>
      <c r="C1" s="88"/>
      <c r="D1" s="88"/>
    </row>
    <row r="2" spans="1:4" ht="22.05" customHeight="1" x14ac:dyDescent="0.3">
      <c r="A2" s="89" t="s">
        <v>664</v>
      </c>
      <c r="B2" s="89"/>
      <c r="C2" s="89"/>
      <c r="D2" s="89"/>
    </row>
    <row r="3" spans="1:4" ht="19.95" customHeight="1" x14ac:dyDescent="0.3">
      <c r="A3" s="100" t="s">
        <v>524</v>
      </c>
      <c r="B3" s="100"/>
      <c r="C3" s="100"/>
      <c r="D3" s="100"/>
    </row>
    <row r="4" spans="1:4" ht="19.95" customHeight="1" x14ac:dyDescent="0.3">
      <c r="A4" s="39" t="s">
        <v>61</v>
      </c>
      <c r="B4" s="39" t="s">
        <v>177</v>
      </c>
      <c r="C4" s="39" t="s">
        <v>29</v>
      </c>
      <c r="D4" s="39" t="s">
        <v>55</v>
      </c>
    </row>
    <row r="5" spans="1:4" ht="19.95" customHeight="1" x14ac:dyDescent="0.3">
      <c r="A5" s="43" t="s">
        <v>525</v>
      </c>
      <c r="B5" s="43"/>
      <c r="C5" s="43"/>
      <c r="D5" s="43"/>
    </row>
    <row r="6" spans="1:4" ht="18" customHeight="1" x14ac:dyDescent="0.3">
      <c r="A6" s="10" t="s">
        <v>180</v>
      </c>
      <c r="B6" s="11" t="s">
        <v>181</v>
      </c>
      <c r="C6" s="12" t="s">
        <v>182</v>
      </c>
      <c r="D6" s="13" t="s">
        <v>183</v>
      </c>
    </row>
    <row r="7" spans="1:4" ht="22.05" customHeight="1" x14ac:dyDescent="0.3">
      <c r="A7" s="95" t="s">
        <v>184</v>
      </c>
      <c r="B7" s="95"/>
      <c r="C7" s="95"/>
      <c r="D7" s="95"/>
    </row>
    <row r="8" spans="1:4" ht="14.4" x14ac:dyDescent="0.3">
      <c r="A8" s="14" t="s">
        <v>652</v>
      </c>
      <c r="B8" s="14" t="s">
        <v>370</v>
      </c>
      <c r="C8" s="14" t="s">
        <v>245</v>
      </c>
      <c r="D8" s="15" t="s">
        <v>196</v>
      </c>
    </row>
    <row r="9" spans="1:4" ht="14.4" x14ac:dyDescent="0.3">
      <c r="A9" s="18" t="s">
        <v>99</v>
      </c>
      <c r="B9" s="16" t="s">
        <v>665</v>
      </c>
      <c r="C9" s="16">
        <v>1</v>
      </c>
      <c r="D9" s="19" t="s">
        <v>207</v>
      </c>
    </row>
    <row r="10" spans="1:4" ht="14.4" x14ac:dyDescent="0.3">
      <c r="A10" s="25" t="s">
        <v>99</v>
      </c>
      <c r="B10" s="20" t="s">
        <v>666</v>
      </c>
      <c r="C10" s="20">
        <v>2</v>
      </c>
      <c r="D10" s="19" t="s">
        <v>207</v>
      </c>
    </row>
    <row r="11" spans="1:4" ht="14.4" x14ac:dyDescent="0.3">
      <c r="A11" s="18" t="s">
        <v>99</v>
      </c>
      <c r="B11" s="16" t="s">
        <v>644</v>
      </c>
      <c r="C11" s="16">
        <v>3</v>
      </c>
      <c r="D11" s="19" t="s">
        <v>207</v>
      </c>
    </row>
    <row r="12" spans="1:4" ht="14.4" x14ac:dyDescent="0.3">
      <c r="A12" s="25" t="s">
        <v>99</v>
      </c>
      <c r="B12" s="20" t="s">
        <v>667</v>
      </c>
      <c r="C12" s="20">
        <v>4</v>
      </c>
      <c r="D12" s="19" t="s">
        <v>207</v>
      </c>
    </row>
    <row r="13" spans="1:4" ht="14.4" x14ac:dyDescent="0.3">
      <c r="A13" s="18" t="s">
        <v>113</v>
      </c>
      <c r="B13" s="16" t="s">
        <v>668</v>
      </c>
      <c r="C13" s="16">
        <v>1</v>
      </c>
      <c r="D13" s="19" t="s">
        <v>207</v>
      </c>
    </row>
    <row r="14" spans="1:4" ht="14.4" x14ac:dyDescent="0.3">
      <c r="A14" s="25" t="s">
        <v>113</v>
      </c>
      <c r="B14" s="20" t="s">
        <v>669</v>
      </c>
      <c r="C14" s="20">
        <v>2</v>
      </c>
      <c r="D14" s="19" t="s">
        <v>207</v>
      </c>
    </row>
    <row r="15" spans="1:4" ht="14.4" x14ac:dyDescent="0.3">
      <c r="A15" s="18" t="s">
        <v>113</v>
      </c>
      <c r="B15" s="16" t="s">
        <v>670</v>
      </c>
      <c r="C15" s="16">
        <v>3</v>
      </c>
      <c r="D15" s="19" t="s">
        <v>207</v>
      </c>
    </row>
    <row r="16" spans="1:4" ht="14.4" x14ac:dyDescent="0.3">
      <c r="A16" s="25" t="s">
        <v>113</v>
      </c>
      <c r="B16" s="20" t="s">
        <v>671</v>
      </c>
      <c r="C16" s="20">
        <v>4</v>
      </c>
      <c r="D16" s="19" t="s">
        <v>207</v>
      </c>
    </row>
    <row r="17" spans="1:4" ht="14.4" x14ac:dyDescent="0.3">
      <c r="A17" s="18" t="s">
        <v>124</v>
      </c>
      <c r="B17" s="16" t="s">
        <v>672</v>
      </c>
      <c r="C17" s="16">
        <v>1</v>
      </c>
      <c r="D17" s="19" t="s">
        <v>207</v>
      </c>
    </row>
    <row r="18" spans="1:4" ht="14.4" x14ac:dyDescent="0.3">
      <c r="A18" s="25" t="s">
        <v>124</v>
      </c>
      <c r="B18" s="20" t="s">
        <v>673</v>
      </c>
      <c r="C18" s="20">
        <v>2</v>
      </c>
      <c r="D18" s="19" t="s">
        <v>207</v>
      </c>
    </row>
    <row r="19" spans="1:4" ht="14.4" x14ac:dyDescent="0.3">
      <c r="A19" s="18" t="s">
        <v>124</v>
      </c>
      <c r="B19" s="16" t="s">
        <v>674</v>
      </c>
      <c r="C19" s="16">
        <v>3</v>
      </c>
      <c r="D19" s="19" t="s">
        <v>207</v>
      </c>
    </row>
    <row r="20" spans="1:4" ht="14.4" x14ac:dyDescent="0.3">
      <c r="A20" s="25" t="s">
        <v>124</v>
      </c>
      <c r="B20" s="20" t="s">
        <v>675</v>
      </c>
      <c r="C20" s="20">
        <v>4</v>
      </c>
      <c r="D20" s="19" t="s">
        <v>207</v>
      </c>
    </row>
    <row r="21" spans="1:4" ht="14.4" x14ac:dyDescent="0.3">
      <c r="A21" s="18" t="s">
        <v>133</v>
      </c>
      <c r="B21" s="16" t="s">
        <v>676</v>
      </c>
      <c r="C21" s="16">
        <v>1</v>
      </c>
      <c r="D21" s="19" t="s">
        <v>207</v>
      </c>
    </row>
    <row r="22" spans="1:4" ht="14.4" x14ac:dyDescent="0.3">
      <c r="A22" s="25" t="s">
        <v>133</v>
      </c>
      <c r="B22" s="20" t="s">
        <v>636</v>
      </c>
      <c r="C22" s="20">
        <v>2</v>
      </c>
      <c r="D22" s="19" t="s">
        <v>207</v>
      </c>
    </row>
    <row r="23" spans="1:4" ht="14.4" x14ac:dyDescent="0.3">
      <c r="A23" s="18" t="s">
        <v>133</v>
      </c>
      <c r="B23" s="16" t="s">
        <v>658</v>
      </c>
      <c r="C23" s="16">
        <v>3</v>
      </c>
      <c r="D23" s="19" t="s">
        <v>207</v>
      </c>
    </row>
    <row r="24" spans="1:4" ht="14.4" x14ac:dyDescent="0.3">
      <c r="A24" s="25" t="s">
        <v>133</v>
      </c>
      <c r="B24" s="20" t="s">
        <v>677</v>
      </c>
      <c r="C24" s="20">
        <v>4</v>
      </c>
      <c r="D24" s="19" t="s">
        <v>207</v>
      </c>
    </row>
    <row r="25" spans="1:4" ht="14.4" x14ac:dyDescent="0.3">
      <c r="A25" s="18" t="s">
        <v>141</v>
      </c>
      <c r="B25" s="16" t="s">
        <v>678</v>
      </c>
      <c r="C25" s="16">
        <v>1</v>
      </c>
      <c r="D25" s="19" t="s">
        <v>207</v>
      </c>
    </row>
    <row r="26" spans="1:4" ht="14.4" x14ac:dyDescent="0.3">
      <c r="A26" s="25" t="s">
        <v>141</v>
      </c>
      <c r="B26" s="20" t="s">
        <v>679</v>
      </c>
      <c r="C26" s="20">
        <v>2</v>
      </c>
      <c r="D26" s="19" t="s">
        <v>207</v>
      </c>
    </row>
    <row r="27" spans="1:4" ht="14.4" x14ac:dyDescent="0.3">
      <c r="A27" s="18" t="s">
        <v>141</v>
      </c>
      <c r="B27" s="16" t="s">
        <v>680</v>
      </c>
      <c r="C27" s="16">
        <v>3</v>
      </c>
      <c r="D27" s="19" t="s">
        <v>207</v>
      </c>
    </row>
    <row r="28" spans="1:4" ht="14.4" x14ac:dyDescent="0.3">
      <c r="A28" s="25" t="s">
        <v>141</v>
      </c>
      <c r="B28" s="20" t="s">
        <v>681</v>
      </c>
      <c r="C28" s="20">
        <v>4</v>
      </c>
      <c r="D28" s="19" t="s">
        <v>207</v>
      </c>
    </row>
    <row r="29" spans="1:4" ht="14.4" x14ac:dyDescent="0.3">
      <c r="A29" s="16" t="inlineStr">
        <is>
          <t>6</t>
        </is>
      </c>
      <c r="B29" s="16" t="inlineStr">
        <is>
          <t>Windows Controller</t>
        </is>
      </c>
      <c r="C29" s="16">
        <v>1</v>
      </c>
      <c r="D29" s="22" t="inlineStr">
        <is>
          <t>READY</t>
        </is>
      </c>
    </row>
    <row r="30" spans="1:4" ht="14.4" x14ac:dyDescent="0.3">
      <c r="A30" s="20" t="inlineStr">
        <is>
          <t>6</t>
        </is>
      </c>
      <c r="B30" s="20" t="inlineStr">
        <is>
          <t>Firebase Command Bus</t>
        </is>
      </c>
      <c r="C30" s="20">
        <v>2</v>
      </c>
      <c r="D30" s="22" t="inlineStr">
        <is>
          <t>READY</t>
        </is>
      </c>
    </row>
    <row r="31" spans="1:4" ht="14.4" x14ac:dyDescent="0.3">
      <c r="A31" s="16" t="inlineStr">
        <is>
          <t>6</t>
        </is>
      </c>
      <c r="B31" s="16" t="inlineStr">
        <is>
          <t>ESP32 Wake-on-LAN</t>
        </is>
      </c>
      <c r="C31" s="16">
        <v>3</v>
      </c>
      <c r="D31" s="22" t="inlineStr">
        <is>
          <t>READY</t>
        </is>
      </c>
    </row>
    <row r="32" spans="1:4" ht="14.4" x14ac:dyDescent="0.3">
      <c r="A32" s="20" t="inlineStr">
        <is>
          <t>6</t>
        </is>
      </c>
      <c r="B32" s="20" t="inlineStr">
        <is>
          <t>Sunshine + Moonlight</t>
        </is>
      </c>
      <c r="C32" s="20">
        <v>4</v>
      </c>
      <c r="D32" s="22" t="inlineStr">
        <is>
          <t>READY</t>
        </is>
      </c>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2:D2"/>
    <mergeCell ref="A3:D3"/>
    <mergeCell ref="A5:D5"/>
    <mergeCell ref="A7:D7"/>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3" width="30" style="6" customWidth="1"/>
    <col min="4" max="4" width="24" style="6" customWidth="1"/>
    <col min="5" max="5" width="34" style="6" customWidth="1"/>
    <col min="6" max="6" width="10" style="6" customWidth="1"/>
    <col min="7" max="7" width="20" style="6" customWidth="1"/>
  </cols>
  <sheetData>
    <row r="1" spans="1:7" ht="28.05" customHeight="1" x14ac:dyDescent="0.3">
      <c r="A1" s="88" t="s">
        <v>46</v>
      </c>
      <c r="B1" s="88"/>
      <c r="C1" s="88"/>
      <c r="D1" s="88"/>
      <c r="E1" s="88"/>
      <c r="F1" s="88"/>
      <c r="G1" s="88"/>
    </row>
    <row r="2" spans="1:7" ht="22.05" customHeight="1" x14ac:dyDescent="0.3">
      <c r="A2" s="89" t="s">
        <v>682</v>
      </c>
      <c r="B2" s="89"/>
      <c r="C2" s="89"/>
      <c r="D2" s="89"/>
      <c r="E2" s="89"/>
      <c r="F2" s="89"/>
      <c r="G2" s="89"/>
    </row>
    <row r="3" spans="1:7" ht="19.95" customHeight="1" x14ac:dyDescent="0.3">
      <c r="A3" s="100" t="s">
        <v>524</v>
      </c>
      <c r="B3" s="100"/>
      <c r="C3" s="100"/>
      <c r="D3" s="100"/>
      <c r="E3" s="100"/>
      <c r="F3" s="100"/>
      <c r="G3" s="100"/>
    </row>
    <row r="4" spans="1:7" ht="19.95" customHeight="1" x14ac:dyDescent="0.3">
      <c r="A4" s="39" t="s">
        <v>61</v>
      </c>
      <c r="B4" s="39" t="s">
        <v>177</v>
      </c>
      <c r="C4" s="39" t="s">
        <v>30</v>
      </c>
      <c r="D4" s="9"/>
      <c r="E4" s="9"/>
      <c r="F4" s="9"/>
      <c r="G4" s="9"/>
    </row>
    <row r="5" spans="1:7" ht="19.95" customHeight="1" x14ac:dyDescent="0.3">
      <c r="A5" s="43" t="s">
        <v>525</v>
      </c>
      <c r="B5" s="43"/>
      <c r="C5" s="43"/>
      <c r="D5" s="43"/>
      <c r="E5" s="43"/>
      <c r="F5" s="43"/>
      <c r="G5" s="43"/>
    </row>
    <row r="6" spans="1:7" ht="18" customHeight="1" x14ac:dyDescent="0.3">
      <c r="A6" s="10" t="s">
        <v>180</v>
      </c>
      <c r="B6" s="11" t="s">
        <v>181</v>
      </c>
      <c r="C6" s="12" t="s">
        <v>182</v>
      </c>
      <c r="D6" s="13" t="s">
        <v>183</v>
      </c>
      <c r="E6" s="9"/>
      <c r="F6" s="9"/>
      <c r="G6" s="9"/>
    </row>
    <row r="7" spans="1:7" ht="22.05" customHeight="1" x14ac:dyDescent="0.3">
      <c r="A7" s="95" t="s">
        <v>184</v>
      </c>
      <c r="B7" s="95"/>
      <c r="C7" s="95"/>
      <c r="D7" s="95"/>
      <c r="E7" s="95"/>
      <c r="F7" s="95"/>
      <c r="G7" s="95"/>
    </row>
    <row r="8" spans="1:7" ht="14.4" x14ac:dyDescent="0.3">
      <c r="A8" s="14" t="s">
        <v>275</v>
      </c>
      <c r="B8" s="14" t="s">
        <v>683</v>
      </c>
      <c r="C8" s="14" t="s">
        <v>370</v>
      </c>
      <c r="D8" s="14" t="s">
        <v>277</v>
      </c>
      <c r="E8" s="14" t="s">
        <v>684</v>
      </c>
      <c r="F8" s="14" t="s">
        <v>245</v>
      </c>
      <c r="G8" s="15" t="s">
        <v>196</v>
      </c>
    </row>
    <row r="9" spans="1:7" ht="14.4" x14ac:dyDescent="0.3">
      <c r="A9" s="16" t="s">
        <v>108</v>
      </c>
      <c r="B9" s="16" t="s">
        <v>685</v>
      </c>
      <c r="C9" s="16" t="s">
        <v>686</v>
      </c>
      <c r="D9" s="16" t="s">
        <v>687</v>
      </c>
      <c r="E9" s="16" t="s">
        <v>688</v>
      </c>
      <c r="F9" s="16">
        <v>1</v>
      </c>
      <c r="G9" s="19" t="s">
        <v>207</v>
      </c>
    </row>
    <row r="10" spans="1:7" ht="14.4" x14ac:dyDescent="0.3">
      <c r="A10" s="20" t="s">
        <v>120</v>
      </c>
      <c r="B10" s="20" t="s">
        <v>689</v>
      </c>
      <c r="C10" s="20" t="s">
        <v>690</v>
      </c>
      <c r="D10" s="20" t="s">
        <v>691</v>
      </c>
      <c r="E10" s="20" t="s">
        <v>692</v>
      </c>
      <c r="F10" s="20">
        <v>2</v>
      </c>
      <c r="G10" s="19" t="s">
        <v>207</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2:G2"/>
    <mergeCell ref="A3:G3"/>
    <mergeCell ref="A5:G5"/>
    <mergeCell ref="A7:G7"/>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88" t="s">
        <v>51</v>
      </c>
      <c r="B1" s="88"/>
      <c r="C1" s="88"/>
      <c r="D1" s="88"/>
      <c r="E1" s="88"/>
      <c r="F1" s="88"/>
    </row>
    <row r="2" spans="1:6" ht="22.05" customHeight="1" x14ac:dyDescent="0.3">
      <c r="A2" s="89" t="s">
        <v>693</v>
      </c>
      <c r="B2" s="89"/>
      <c r="C2" s="89"/>
      <c r="D2" s="89"/>
      <c r="E2" s="89"/>
      <c r="F2" s="89"/>
    </row>
    <row r="3" spans="1:6" ht="19.95" customHeight="1" x14ac:dyDescent="0.3">
      <c r="A3" s="100" t="s">
        <v>524</v>
      </c>
      <c r="B3" s="100"/>
      <c r="C3" s="100"/>
      <c r="D3" s="100"/>
      <c r="E3" s="100"/>
      <c r="F3" s="100"/>
    </row>
    <row r="4" spans="1:6" ht="19.95" customHeight="1" x14ac:dyDescent="0.3">
      <c r="A4" s="39" t="s">
        <v>61</v>
      </c>
      <c r="B4" s="39" t="s">
        <v>177</v>
      </c>
      <c r="C4" s="39" t="s">
        <v>79</v>
      </c>
      <c r="D4" s="39" t="s">
        <v>56</v>
      </c>
      <c r="E4" s="9"/>
      <c r="F4" s="9"/>
    </row>
    <row r="5" spans="1:6" ht="19.95" customHeight="1" x14ac:dyDescent="0.3">
      <c r="A5" s="43" t="s">
        <v>525</v>
      </c>
      <c r="B5" s="43"/>
      <c r="C5" s="43"/>
      <c r="D5" s="43"/>
      <c r="E5" s="43"/>
      <c r="F5" s="43"/>
    </row>
    <row r="6" spans="1:6" ht="18" customHeight="1" x14ac:dyDescent="0.3">
      <c r="A6" s="10" t="s">
        <v>180</v>
      </c>
      <c r="B6" s="11" t="s">
        <v>181</v>
      </c>
      <c r="C6" s="12" t="s">
        <v>182</v>
      </c>
      <c r="D6" s="13" t="s">
        <v>183</v>
      </c>
      <c r="E6" s="9"/>
      <c r="F6" s="9"/>
    </row>
    <row r="7" spans="1:6" ht="22.05" customHeight="1" x14ac:dyDescent="0.3">
      <c r="A7" s="95" t="s">
        <v>184</v>
      </c>
      <c r="B7" s="95"/>
      <c r="C7" s="95"/>
      <c r="D7" s="95"/>
      <c r="E7" s="95"/>
      <c r="F7" s="95"/>
    </row>
    <row r="8" spans="1:6" ht="14.4" x14ac:dyDescent="0.3">
      <c r="A8" s="14" t="s">
        <v>185</v>
      </c>
      <c r="B8" s="14" t="s">
        <v>694</v>
      </c>
      <c r="C8" s="14" t="s">
        <v>125</v>
      </c>
      <c r="D8" s="14" t="s">
        <v>245</v>
      </c>
      <c r="E8" s="14" t="s">
        <v>246</v>
      </c>
      <c r="F8" s="15" t="s">
        <v>196</v>
      </c>
    </row>
    <row r="9" spans="1:6" ht="14.4" x14ac:dyDescent="0.3">
      <c r="A9" s="16" t="s">
        <v>695</v>
      </c>
      <c r="B9" s="16" t="s">
        <v>203</v>
      </c>
      <c r="C9" s="16" t="s">
        <v>107</v>
      </c>
      <c r="D9" s="16">
        <v>1</v>
      </c>
      <c r="E9" s="24" t="s">
        <v>98</v>
      </c>
      <c r="F9" s="19" t="s">
        <v>207</v>
      </c>
    </row>
    <row r="10" spans="1:6" ht="14.4" x14ac:dyDescent="0.3">
      <c r="A10" s="20" t="s">
        <v>696</v>
      </c>
      <c r="B10" s="20" t="s">
        <v>204</v>
      </c>
      <c r="C10" s="20" t="s">
        <v>119</v>
      </c>
      <c r="D10" s="20">
        <v>2</v>
      </c>
      <c r="E10" s="26" t="s">
        <v>98</v>
      </c>
      <c r="F10" s="19" t="s">
        <v>207</v>
      </c>
    </row>
    <row r="11" spans="1:6" ht="14.4" x14ac:dyDescent="0.3">
      <c r="A11" s="16" t="s">
        <v>697</v>
      </c>
      <c r="B11" s="16" t="s">
        <v>698</v>
      </c>
      <c r="C11" s="16" t="s">
        <v>129</v>
      </c>
      <c r="D11" s="16">
        <v>3</v>
      </c>
      <c r="E11" s="24" t="s">
        <v>98</v>
      </c>
      <c r="F11" s="19" t="s">
        <v>207</v>
      </c>
    </row>
    <row r="12" spans="1:6" ht="14.4" x14ac:dyDescent="0.3">
      <c r="A12" s="20" t="s">
        <v>137</v>
      </c>
      <c r="B12" s="20" t="s">
        <v>699</v>
      </c>
      <c r="C12" s="20" t="s">
        <v>137</v>
      </c>
      <c r="D12" s="20">
        <v>4</v>
      </c>
      <c r="E12" s="26" t="s">
        <v>98</v>
      </c>
      <c r="F12" s="19" t="s">
        <v>207</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1:F1"/>
    <mergeCell ref="A2:F2"/>
    <mergeCell ref="A3:F3"/>
    <mergeCell ref="A5:F5"/>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88" t="s">
        <v>56</v>
      </c>
      <c r="B1" s="88"/>
      <c r="C1" s="88"/>
      <c r="D1" s="88"/>
      <c r="E1" s="88"/>
    </row>
    <row r="2" spans="1:5" ht="22.05" customHeight="1" x14ac:dyDescent="0.3">
      <c r="A2" s="89" t="s">
        <v>700</v>
      </c>
      <c r="B2" s="89"/>
      <c r="C2" s="89"/>
      <c r="D2" s="89"/>
      <c r="E2" s="89"/>
    </row>
    <row r="3" spans="1:5" ht="19.95" customHeight="1" x14ac:dyDescent="0.3">
      <c r="A3" s="100" t="s">
        <v>524</v>
      </c>
      <c r="B3" s="100"/>
      <c r="C3" s="100"/>
      <c r="D3" s="100"/>
      <c r="E3" s="100"/>
    </row>
    <row r="4" spans="1:5" ht="19.95" customHeight="1" x14ac:dyDescent="0.3">
      <c r="A4" s="39" t="s">
        <v>61</v>
      </c>
      <c r="B4" s="39" t="s">
        <v>177</v>
      </c>
      <c r="C4" s="39" t="s">
        <v>79</v>
      </c>
      <c r="D4" s="39" t="s">
        <v>51</v>
      </c>
      <c r="E4" s="39" t="s">
        <v>58</v>
      </c>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370</v>
      </c>
      <c r="B8" s="14" t="s">
        <v>559</v>
      </c>
      <c r="C8" s="23" t="s">
        <v>701</v>
      </c>
      <c r="D8" s="14" t="s">
        <v>245</v>
      </c>
      <c r="E8" s="15" t="s">
        <v>196</v>
      </c>
    </row>
    <row r="9" spans="1:5" ht="14.4" x14ac:dyDescent="0.3">
      <c r="A9" s="16" t="s">
        <v>702</v>
      </c>
      <c r="B9" s="16" t="s">
        <v>703</v>
      </c>
      <c r="C9" s="16" t="s">
        <v>704</v>
      </c>
      <c r="D9" s="16">
        <v>1</v>
      </c>
      <c r="E9" s="19" t="s">
        <v>207</v>
      </c>
    </row>
    <row r="10" spans="1:5" ht="14.4" x14ac:dyDescent="0.3">
      <c r="A10" s="20" t="s">
        <v>705</v>
      </c>
      <c r="B10" s="20" t="s">
        <v>706</v>
      </c>
      <c r="C10" s="20" t="s">
        <v>252</v>
      </c>
      <c r="D10" s="20">
        <v>2</v>
      </c>
      <c r="E10" s="19" t="s">
        <v>207</v>
      </c>
    </row>
    <row r="11" spans="1:5" ht="14.4" x14ac:dyDescent="0.3">
      <c r="A11" s="16" t="s">
        <v>707</v>
      </c>
      <c r="B11" s="16" t="s">
        <v>708</v>
      </c>
      <c r="C11" s="16" t="s">
        <v>252</v>
      </c>
      <c r="D11" s="16">
        <v>3</v>
      </c>
      <c r="E11" s="19" t="s">
        <v>207</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1:E1"/>
    <mergeCell ref="A2:E2"/>
    <mergeCell ref="A3:E3"/>
    <mergeCell ref="A5:E5"/>
    <mergeCell ref="A7:E7"/>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88" t="s">
        <v>58</v>
      </c>
      <c r="B1" s="88"/>
      <c r="C1" s="88"/>
      <c r="D1" s="88"/>
      <c r="E1" s="88"/>
    </row>
    <row r="2" spans="1:5" ht="22.05" customHeight="1" x14ac:dyDescent="0.3">
      <c r="A2" s="89" t="s">
        <v>709</v>
      </c>
      <c r="B2" s="89"/>
      <c r="C2" s="89"/>
      <c r="D2" s="89"/>
      <c r="E2" s="89"/>
    </row>
    <row r="3" spans="1:5" ht="19.95" customHeight="1" x14ac:dyDescent="0.3">
      <c r="A3" s="100" t="s">
        <v>524</v>
      </c>
      <c r="B3" s="100"/>
      <c r="C3" s="100"/>
      <c r="D3" s="100"/>
      <c r="E3" s="100"/>
    </row>
    <row r="4" spans="1:5" ht="19.95" customHeight="1" x14ac:dyDescent="0.3">
      <c r="A4" s="39" t="s">
        <v>61</v>
      </c>
      <c r="B4" s="39" t="s">
        <v>177</v>
      </c>
      <c r="C4" s="39" t="s">
        <v>79</v>
      </c>
      <c r="D4" s="9"/>
      <c r="E4" s="9"/>
    </row>
    <row r="5" spans="1:5" ht="19.95" customHeight="1" x14ac:dyDescent="0.3">
      <c r="A5" s="43" t="s">
        <v>525</v>
      </c>
      <c r="B5" s="43"/>
      <c r="C5" s="43"/>
      <c r="D5" s="43"/>
      <c r="E5" s="43"/>
    </row>
    <row r="6" spans="1:5" ht="18" customHeight="1" x14ac:dyDescent="0.3">
      <c r="A6" s="10" t="s">
        <v>180</v>
      </c>
      <c r="B6" s="11" t="s">
        <v>181</v>
      </c>
      <c r="C6" s="12" t="s">
        <v>182</v>
      </c>
      <c r="D6" s="13" t="s">
        <v>183</v>
      </c>
      <c r="E6" s="9"/>
    </row>
    <row r="7" spans="1:5" ht="22.05" customHeight="1" x14ac:dyDescent="0.3">
      <c r="A7" s="95" t="s">
        <v>184</v>
      </c>
      <c r="B7" s="95"/>
      <c r="C7" s="95"/>
      <c r="D7" s="95"/>
      <c r="E7" s="95"/>
    </row>
    <row r="8" spans="1:5" ht="14.4" x14ac:dyDescent="0.3">
      <c r="A8" s="14" t="s">
        <v>185</v>
      </c>
      <c r="B8" s="14" t="s">
        <v>710</v>
      </c>
      <c r="C8" s="14" t="s">
        <v>711</v>
      </c>
      <c r="D8" s="14" t="s">
        <v>712</v>
      </c>
      <c r="E8" s="15" t="s">
        <v>196</v>
      </c>
    </row>
    <row r="9" spans="1:5" ht="14.4" x14ac:dyDescent="0.3">
      <c r="A9" s="16" t="s">
        <v>197</v>
      </c>
      <c r="B9" s="16" t="s">
        <v>713</v>
      </c>
      <c r="C9" s="16" t="s">
        <v>575</v>
      </c>
      <c r="D9" s="16" t="s">
        <v>714</v>
      </c>
      <c r="E9" s="19" t="s">
        <v>207</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1:E1"/>
    <mergeCell ref="A2:E2"/>
    <mergeCell ref="A3:E3"/>
    <mergeCell ref="A5:E5"/>
    <mergeCell ref="A7:E7"/>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2026-06-22T20:02:49Z</dcterms:created>
  <dcterms:modified xsi:type="dcterms:W3CDTF">2026-09-20T13:03:11Z</dcterms:modified>
  <cp:category/>
</cp:coreProperties>
</file>
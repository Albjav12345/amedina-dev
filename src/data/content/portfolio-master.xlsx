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ME" state="visible" r:id="rId4"/>
    <sheet sheetId="2" name="README" state="visible" r:id="rId5"/>
    <sheet sheetId="3" name="_LOOKUPS" state="veryHidden" r:id="rId6"/>
    <sheet sheetId="4" name="PROFILE" state="visible" r:id="rId7"/>
    <sheet sheetId="5" name="HERO" state="visible" r:id="rId8"/>
    <sheet sheetId="6" name="PROJECTS" state="visible" r:id="rId9"/>
    <sheet sheetId="7" name="TESTIMONIALS" state="visible" r:id="rId10"/>
    <sheet sheetId="8" name="CONTACT" state="visible" r:id="rId11"/>
    <sheet sheetId="9" name="ASSETS" state="visible" r:id="rId12"/>
    <sheet sheetId="10" name="ASSET_PREVIEW" state="visible" r:id="rId13"/>
    <sheet sheetId="11" name="NAVIGATION_CONFIG" state="visible" r:id="rId14"/>
    <sheet sheetId="12" name="NAVIGATION" state="visible" r:id="rId15"/>
    <sheet sheetId="13" name="ABOUT_BIO" state="visible" r:id="rId16"/>
    <sheet sheetId="14" name="ABOUT_STATS" state="visible" r:id="rId17"/>
    <sheet sheetId="15" name="HERO_METADATA" state="visible" r:id="rId18"/>
    <sheet sheetId="16" name="TERMINAL" state="visible" r:id="rId19"/>
    <sheet sheetId="17" name="TERMINAL_LINES" state="visible" r:id="rId20"/>
    <sheet sheetId="18" name="TERMINAL_CAPABILITIES" state="visible" r:id="rId21"/>
    <sheet sheetId="19" name="SECTION_HEADERS" state="visible" r:id="rId22"/>
    <sheet sheetId="20" name="SKILL_CATEGORIES" state="visible" r:id="rId23"/>
    <sheet sheetId="21" name="SKILL_ITEMS" state="visible" r:id="rId24"/>
    <sheet sheetId="22" name="PROJECT_STACK" state="visible" r:id="rId25"/>
    <sheet sheetId="23" name="PROJECT_ARCH" state="visible" r:id="rId26"/>
    <sheet sheetId="24" name="TESTIMONIAL_SOURCES" state="visible" r:id="rId27"/>
    <sheet sheetId="25" name="CONTACT_SOCIAL" state="visible" r:id="rId28"/>
    <sheet sheetId="26" name="CONTACT_METADATA" state="visible" r:id="rId29"/>
    <sheet sheetId="27" name="FOOTER" state="visible" r:id="rId30"/>
  </sheets>
  <calcPr calcId="171027" fullCalcOnLoad="1"/>
</workbook>
</file>

<file path=xl/sharedStrings.xml><?xml version="1.0" encoding="utf-8"?>
<sst xmlns="http://schemas.openxmlformats.org/spreadsheetml/2006/main" count="2113" uniqueCount="830">
  <si>
    <t>Portfolio Content Hub</t>
  </si>
  <si>
    <t>Edit the workbook from a single control center, then sync the site.</t>
  </si>
  <si>
    <t>MASTER WORKBOOK | LAST SYNC 2026-10-25 20:55:30 UTC | CTRL+CLICK LINKS TO NAVIGATE</t>
  </si>
  <si>
    <t>Use the cards below for primary editing, the workflow panel for the sync cycle, and the grouped panels at the bottom for advanced sheets.</t>
  </si>
  <si>
    <t>PROFILE</t>
  </si>
  <si>
    <t>PROJECTS</t>
  </si>
  <si>
    <t>TESTIMONIALS</t>
  </si>
  <si>
    <t>Identity and about copy</t>
  </si>
  <si>
    <t>7 showcased projects</t>
  </si>
  <si>
    <t>17 client reviews</t>
  </si>
  <si>
    <t>1 main editor surface</t>
  </si>
  <si>
    <t>Open sheet</t>
  </si>
  <si>
    <t>Cards, media wiring, stack, and ordering</t>
  </si>
  <si>
    <t>Featured order, sources, and avatar assets</t>
  </si>
  <si>
    <t>HERO</t>
  </si>
  <si>
    <t>CONTACT</t>
  </si>
  <si>
    <t>ASSETS</t>
  </si>
  <si>
    <t>2 metadata rows</t>
  </si>
  <si>
    <t>4 social links</t>
  </si>
  <si>
    <t>50 registered assets</t>
  </si>
  <si>
    <t>Landing copy, labels, and CTA wiring</t>
  </si>
  <si>
    <t>Form labels, metadata, and footer copy</t>
  </si>
  <si>
    <t>Sources, resolved paths, usage, and previews</t>
  </si>
  <si>
    <t>WORKFLOW</t>
  </si>
  <si>
    <t>COMMON EDITS</t>
  </si>
  <si>
    <t xml:space="preserve">1. Jump into the section you want to edit.
2. Make changes inside the shaded input area.
3. Run npm run content:check for validation only.
4. Run npm run content:sync to refresh the workbook and runtime JSON.
5. Run npm run build when you want a full site verification.</t>
  </si>
  <si>
    <t>Fast entry points for the sheets you will touch most often.</t>
  </si>
  <si>
    <t>Workbook Guide</t>
  </si>
  <si>
    <t>Profile</t>
  </si>
  <si>
    <t>Projects</t>
  </si>
  <si>
    <t>Testimonials</t>
  </si>
  <si>
    <t>ADVANCED SHEETS</t>
  </si>
  <si>
    <t>SITE FRAME</t>
  </si>
  <si>
    <t>ABOUT</t>
  </si>
  <si>
    <t>TERMINAL</t>
  </si>
  <si>
    <t>RELATIONS</t>
  </si>
  <si>
    <t>SOURCES</t>
  </si>
  <si>
    <t>Navigation shell</t>
  </si>
  <si>
    <t>Bio and hero support</t>
  </si>
  <si>
    <t>Command UX copy</t>
  </si>
  <si>
    <t>Skills and project links</t>
  </si>
  <si>
    <t>Proof and footer</t>
  </si>
  <si>
    <t>Navigation Config</t>
  </si>
  <si>
    <t>About Bio</t>
  </si>
  <si>
    <t>Terminal</t>
  </si>
  <si>
    <t>Skill Categories</t>
  </si>
  <si>
    <t>Testimonial Sources</t>
  </si>
  <si>
    <t>Navigation</t>
  </si>
  <si>
    <t>About Stats</t>
  </si>
  <si>
    <t>Terminal Lines</t>
  </si>
  <si>
    <t>Skill Items</t>
  </si>
  <si>
    <t>Contact Social</t>
  </si>
  <si>
    <t>Section Headers</t>
  </si>
  <si>
    <t>Hero Metadata</t>
  </si>
  <si>
    <t>Terminal Capabilities</t>
  </si>
  <si>
    <t>Project Stack</t>
  </si>
  <si>
    <t>Contact Metadata</t>
  </si>
  <si>
    <t>Project Architecture</t>
  </si>
  <si>
    <t>Footer</t>
  </si>
  <si>
    <t>Editing rules, shortcuts, and the quickest path to each content area.</t>
  </si>
  <si>
    <t>GUIDE SHEET | LAST SYNC 2026-10-25 20:55:30 UTC | START FROM HOME FOR THE FASTEST FLOW</t>
  </si>
  <si>
    <t>Back to HOME</t>
  </si>
  <si>
    <t>Use the quick links below for the main editing areas. Open HOME if you need the full grouped navigation map.</t>
  </si>
  <si>
    <t>Assets</t>
  </si>
  <si>
    <t>Preview</t>
  </si>
  <si>
    <t>SOURCE OF TRUTH</t>
  </si>
  <si>
    <t>COMMAND FLOW</t>
  </si>
  <si>
    <t>LINK BEHAVIOR</t>
  </si>
  <si>
    <t>Edit only src/data/content/portfolio-master.xlsx. The website consumes generated JSON, but the workbook is the only place you should author content.</t>
  </si>
  <si>
    <t xml:space="preserve">content:init -&gt; one-time bootstrap only
content:check -&gt; validation without publishing
content:sync -&gt; rebuild workbook UI and runtime JSON
build -&gt; final site verification</t>
  </si>
  <si>
    <t>CTRL+CLICK linked ids to jump between sheets. assetId, project_id, sourceKey, and preview links are wired automatically every sync.</t>
  </si>
  <si>
    <t>ADD A PROJECT</t>
  </si>
  <si>
    <t>ADD A TESTIMONIAL</t>
  </si>
  <si>
    <t>ASSET MODES</t>
  </si>
  <si>
    <t xml:space="preserve">1. Add a row in PROJECTS.
2. Add stack rows in PROJECT_STACK.
3. Add architecture rows in PROJECT_ARCH.
4. Point media fields to asset ids from ASSETS.
5. Run content:sync.</t>
  </si>
  <si>
    <t xml:space="preserve">1. Add a row in TESTIMONIALS.
2. Reuse or add a source preset in TESTIMONIAL_SOURCES.
3. Set featured = TRUE to show it on the site.
4. Use featuredOrder to control visible order and highlighted = TRUE to visually emphasize it.
5. Run content:sync.</t>
  </si>
  <si>
    <t xml:space="preserve">existing_public -&gt; file already lives inside public/
import_local -&gt; copy a local file into public/
external_url -&gt; point directly to a remote asset</t>
  </si>
  <si>
    <t>PRIMARY EDIT SURFACES</t>
  </si>
  <si>
    <t>Hero</t>
  </si>
  <si>
    <t>Contact</t>
  </si>
  <si>
    <t>Asset Preview Index</t>
  </si>
  <si>
    <t>Open HOME for the full grouped list of advanced sheets.</t>
  </si>
  <si>
    <t>booleanValues</t>
  </si>
  <si>
    <t>starValues</t>
  </si>
  <si>
    <t>assetKinds</t>
  </si>
  <si>
    <t>assetModes</t>
  </si>
  <si>
    <t>demoTypes</t>
  </si>
  <si>
    <t>iconFits</t>
  </si>
  <si>
    <t>terminalColors</t>
  </si>
  <si>
    <t>terminalGroups</t>
  </si>
  <si>
    <t>skillColors</t>
  </si>
  <si>
    <t>skillIcons</t>
  </si>
  <si>
    <t>socialIcons</t>
  </si>
  <si>
    <t>sourceKeys</t>
  </si>
  <si>
    <t>projectIds</t>
  </si>
  <si>
    <t>assetIds</t>
  </si>
  <si>
    <t>categoryIds</t>
  </si>
  <si>
    <t>sectionIds</t>
  </si>
  <si>
    <t>TRUE</t>
  </si>
  <si>
    <t>1</t>
  </si>
  <si>
    <t>image</t>
  </si>
  <si>
    <t>existing_public</t>
  </si>
  <si>
    <t>video</t>
  </si>
  <si>
    <t>auto</t>
  </si>
  <si>
    <t>electric-green</t>
  </si>
  <si>
    <t>initial</t>
  </si>
  <si>
    <t>Cpu</t>
  </si>
  <si>
    <t>Github</t>
  </si>
  <si>
    <t>fiverr</t>
  </si>
  <si>
    <t>profile-avatar</t>
  </si>
  <si>
    <t>core-development</t>
  </si>
  <si>
    <t>about</t>
  </si>
  <si>
    <t>FALSE</t>
  </si>
  <si>
    <t>2</t>
  </si>
  <si>
    <t>import_local</t>
  </si>
  <si>
    <t>cover</t>
  </si>
  <si>
    <t>electric-cyan</t>
  </si>
  <si>
    <t>greeting</t>
  </si>
  <si>
    <t>Brain</t>
  </si>
  <si>
    <t>Linkedin</t>
  </si>
  <si>
    <t>direct</t>
  </si>
  <si>
    <t>project-1-video</t>
  </si>
  <si>
    <t>ai-vision-workflows</t>
  </si>
  <si>
    <t>projects</t>
  </si>
  <si>
    <t>3</t>
  </si>
  <si>
    <t>icon</t>
  </si>
  <si>
    <t>external_url</t>
  </si>
  <si>
    <t>youtube</t>
  </si>
  <si>
    <t>white</t>
  </si>
  <si>
    <t>Layers</t>
  </si>
  <si>
    <t>Twitter</t>
  </si>
  <si>
    <t>project-1-thumbnail</t>
  </si>
  <si>
    <t>frontend-interactive-systems</t>
  </si>
  <si>
    <t>tech</t>
  </si>
  <si>
    <t>4</t>
  </si>
  <si>
    <t>other</t>
  </si>
  <si>
    <t>gray</t>
  </si>
  <si>
    <t>Globe</t>
  </si>
  <si>
    <t>Upwork</t>
  </si>
  <si>
    <t>project-1-icon</t>
  </si>
  <si>
    <t>infra-delivery</t>
  </si>
  <si>
    <t>architect</t>
  </si>
  <si>
    <t>5</t>
  </si>
  <si>
    <t>project-2-video</t>
  </si>
  <si>
    <t>console</t>
  </si>
  <si>
    <t>6</t>
  </si>
  <si>
    <t>project-2-thumbnail</t>
  </si>
  <si>
    <t>7</t>
  </si>
  <si>
    <t>project-2-icon</t>
  </si>
  <si>
    <t>project-3-video</t>
  </si>
  <si>
    <t>project-3-thumbnail</t>
  </si>
  <si>
    <t>project-3-icon</t>
  </si>
  <si>
    <t>project-4-video</t>
  </si>
  <si>
    <t>project-4-thumbnail</t>
  </si>
  <si>
    <t>project-4-icon</t>
  </si>
  <si>
    <t>project-5-video</t>
  </si>
  <si>
    <t>project-5-thumbnail</t>
  </si>
  <si>
    <t>project-5-icon</t>
  </si>
  <si>
    <t>testimonial-client3</t>
  </si>
  <si>
    <t>testimonial-client2</t>
  </si>
  <si>
    <t>testimonial-client1</t>
  </si>
  <si>
    <t>testimonial-client4</t>
  </si>
  <si>
    <t>testimonial-client5</t>
  </si>
  <si>
    <t>testimonial-client6</t>
  </si>
  <si>
    <t>testimonial-client7</t>
  </si>
  <si>
    <t>testimonial-client8</t>
  </si>
  <si>
    <t>testimonial-client9</t>
  </si>
  <si>
    <t>testimonial-client10</t>
  </si>
  <si>
    <t>testimonial-client11</t>
  </si>
  <si>
    <t>testimonial-pack-leaf</t>
  </si>
  <si>
    <t>testimonial-pack-av</t>
  </si>
  <si>
    <t>testimonial-pack-signature</t>
  </si>
  <si>
    <t>testimonial-client12</t>
  </si>
  <si>
    <t>testimonial-client13</t>
  </si>
  <si>
    <t>testimonial-client14</t>
  </si>
  <si>
    <t>testimonial-client15</t>
  </si>
  <si>
    <t>testimonial-pack-smark</t>
  </si>
  <si>
    <t>testimonial-pack-mountain</t>
  </si>
  <si>
    <t>project-6-video</t>
  </si>
  <si>
    <t>project-6-thumbnail</t>
  </si>
  <si>
    <t>project-6-icon</t>
  </si>
  <si>
    <t>datacraft-cover</t>
  </si>
  <si>
    <t>datacraft-icon</t>
  </si>
  <si>
    <t>datacraft-gallery-1</t>
  </si>
  <si>
    <t>datacraft-gallery-2</t>
  </si>
  <si>
    <t>datacraft-gallery-3</t>
  </si>
  <si>
    <t>datacraft-gallery-4</t>
  </si>
  <si>
    <t>datacraft-gallery-5</t>
  </si>
  <si>
    <t>datacraft-gallery-6</t>
  </si>
  <si>
    <t>datacraft-gallery-7</t>
  </si>
  <si>
    <t>datacraft-gallery-8</t>
  </si>
  <si>
    <t>datacraft-video</t>
  </si>
  <si>
    <t>Identity, bio headline, social links, and testimonial section copy.</t>
  </si>
  <si>
    <t>PRIMARY EDIT SURFACE | LAST SYNC 2026-10-25 20:55:30 UTC</t>
  </si>
  <si>
    <t>Guide</t>
  </si>
  <si>
    <t>Prev: Workbook Guide</t>
  </si>
  <si>
    <t>Next: Hero</t>
  </si>
  <si>
    <t>Primary editing surface. Keep changes inside the table area and use linked ids to move between related records.</t>
  </si>
  <si>
    <t>Required</t>
  </si>
  <si>
    <t>Optional</t>
  </si>
  <si>
    <t>Generated</t>
  </si>
  <si>
    <t>Linked</t>
  </si>
  <si>
    <t>Editable data starts below. Use dropdown cells where present, and CTRL+CLICK linked ids to jump between related sheets.</t>
  </si>
  <si>
    <t>name</t>
  </si>
  <si>
    <t>role</t>
  </si>
  <si>
    <t>tagline</t>
  </si>
  <si>
    <t>avatarAssetId</t>
  </si>
  <si>
    <t>aboutTitle</t>
  </si>
  <si>
    <t>featuredProjectId</t>
  </si>
  <si>
    <t>featuredProjectLabel</t>
  </si>
  <si>
    <t>philosophyLabel</t>
  </si>
  <si>
    <t>philosophyQuote</t>
  </si>
  <si>
    <t>github</t>
  </si>
  <si>
    <t>linkedin</t>
  </si>
  <si>
    <t>testimonialsTitle</t>
  </si>
  <si>
    <t>testimonialsSubtitle</t>
  </si>
  <si>
    <t>rowStatus</t>
  </si>
  <si>
    <t>Alberto Medina Garcia</t>
  </si>
  <si>
    <t>Computer Engineering student &amp; software developer</t>
  </si>
  <si>
    <t>I build reliable products, automation workflows, and AI systems with clear product thinking.</t>
  </si>
  <si>
    <t>From game development to everyday tools.</t>
  </si>
  <si>
    <t>An independent product</t>
  </si>
  <si>
    <t>Working with AI</t>
  </si>
  <si>
    <t>AI helps me move faster. I review the code, test the result and take responsibility for what ships.</t>
  </si>
  <si>
    <t>https://github.com/Albjav12345</t>
  </si>
  <si>
    <t>https://www.linkedin.com/in/alberto-medina-dev/</t>
  </si>
  <si>
    <t>Verified Client Feedback</t>
  </si>
  <si>
    <t>Real feedback from completed Fiverr orders. Client handles and avatars are anonymized for privacy.</t>
  </si>
  <si>
    <t>READY</t>
  </si>
  <si>
    <t>Landing copy, calls to action, and top-level positioning.</t>
  </si>
  <si>
    <t>Prev: Profile</t>
  </si>
  <si>
    <t>Next: Projects</t>
  </si>
  <si>
    <t>priorityLabel</t>
  </si>
  <si>
    <t>titleWhite</t>
  </si>
  <si>
    <t>titleGreen</t>
  </si>
  <si>
    <t>handle</t>
  </si>
  <si>
    <t>description</t>
  </si>
  <si>
    <t>buttonTerminal</t>
  </si>
  <si>
    <t>buttonCv</t>
  </si>
  <si>
    <t>buttonCvPending</t>
  </si>
  <si>
    <t>buttonCvHref</t>
  </si>
  <si>
    <t>FULL-STACK SYSTEMS / AUTOMATION / AI</t>
  </si>
  <si>
    <t>ALBERTO</t>
  </si>
  <si>
    <t>MEDINA</t>
  </si>
  <si>
    <t>@Albjav12345</t>
  </si>
  <si>
    <t>I design and ship full-stack products, automation workflows, and AI systems—from polished interfaces to reliable backend operations.</t>
  </si>
  <si>
    <t>ACCESS_TERMINAL</t>
  </si>
  <si>
    <t>DOWNLOAD_CV.PDF</t>
  </si>
  <si>
    <t>CV_PENDING</t>
  </si>
  <si>
    <t>/Alberto_Medina_CV_2026.pdf</t>
  </si>
  <si>
    <t>Main project cards, value story, media wiring, and ordering.</t>
  </si>
  <si>
    <t>Prev: Hero</t>
  </si>
  <si>
    <t>Next: Testimonials</t>
  </si>
  <si>
    <t>id</t>
  </si>
  <si>
    <t>title</t>
  </si>
  <si>
    <t>subtitle</t>
  </si>
  <si>
    <t>problem</t>
  </si>
  <si>
    <t>solution</t>
  </si>
  <si>
    <t>githubLink</t>
  </si>
  <si>
    <t>itchLink</t>
  </si>
  <si>
    <t>assetStoreLink</t>
  </si>
  <si>
    <t>assetStoreComingSoon</t>
  </si>
  <si>
    <t>gallerySize</t>
  </si>
  <si>
    <t>cardLabel</t>
  </si>
  <si>
    <t>galleryAssetIds</t>
  </si>
  <si>
    <t>demoEmbedUrl</t>
  </si>
  <si>
    <t>demoType</t>
  </si>
  <si>
    <t>videoAssetId</t>
  </si>
  <si>
    <t>thumbnailAssetId</t>
  </si>
  <si>
    <t>iconAssetId</t>
  </si>
  <si>
    <t>iconFit</t>
  </si>
  <si>
    <t>iconScale</t>
  </si>
  <si>
    <t>order</t>
  </si>
  <si>
    <t>enabled</t>
  </si>
  <si>
    <t>Unity Interface Systems</t>
  </si>
  <si>
    <t>High-Fidelity Real-Time UX</t>
  </si>
  <si>
    <t>A lot of developers can build tools. Far fewer can build custom interfaces that feel intentional inside a real-time engine.</t>
  </si>
  <si>
    <t>I built polished Unity interfaces and supporting shader work to show that I can design and implement unusual UI systems, not just standard app screens.</t>
  </si>
  <si>
    <t>https://github.com/Albjav12345/unity-interfaces</t>
  </si>
  <si>
    <t/>
  </si>
  <si>
    <t>Smart Inbox Manager</t>
  </si>
  <si>
    <t>Autonomous Corporate Email Triage</t>
  </si>
  <si>
    <t>Sales and partnership inboxes become noisy fast, and teams lose time triaging the same messages manually.</t>
  </si>
  <si>
    <t>I built a full-stack AI workflow that classifies incoming emails, drafts first replies, and keeps a human in control where it matters.</t>
  </si>
  <si>
    <t>https://github.com/Albjav12345/zero_touch_email_bot</t>
  </si>
  <si>
    <t>wide</t>
  </si>
  <si>
    <t>Padel Booking Platform</t>
  </si>
  <si>
    <t>Live Availability &amp; Conflict-Free Booking</t>
  </si>
  <si>
    <t>Manual booking created conflicts, stale availability, and too much back-and-forth for users.</t>
  </si>
  <si>
    <t>I shipped a serverless PWA with real-time sync and validation so availability updates instantly and booking conflicts are resolved at the system level.</t>
  </si>
  <si>
    <t>https://github.com/Albjav12345/padel-sync</t>
  </si>
  <si>
    <t>Twitch Live Analytics</t>
  </si>
  <si>
    <t>Real-time Streamer Detection</t>
  </si>
  <si>
    <t>Finding live streamers in Fortnite lobbies manually was slow, repetitive, and easy to get wrong.</t>
  </si>
  <si>
    <t>I automated the workflow with screen capture, OCR, and Twitch API checks so detection became fast, repeatable, and much easier to monitor.</t>
  </si>
  <si>
    <t>https://github.com/Albjav12345/Fortnite-Lobby-Stream-Finder</t>
  </si>
  <si>
    <t>USB Exfiltration Tool</t>
  </si>
  <si>
    <t>Controlled Security Research &amp; Endpoint Automation</t>
  </si>
  <si>
    <t>Authorized endpoint collection can fail because of file locks, manual steps, and inconsistent evidence handling during controlled security exercises.</t>
  </si>
  <si>
    <t>I built a Windows-based acquisition workflow for authorized lab and red-team scenarios, combining native system polling, explicit operator controls, and low-friction evidence collection.</t>
  </si>
  <si>
    <t>https://github.com/Albjav12345/Automated-USB-Exfiltration</t>
  </si>
  <si>
    <t>half</t>
  </si>
  <si>
    <t>Remote PC Bridge</t>
  </si>
  <si>
    <t>ESP32 Wake-on-LAN &amp; Remote Streaming Diagnostics</t>
  </si>
  <si>
    <t>A home PC that is powered off cannot be reached through remote streaming, and failures across the wake and connection path are hard to pinpoint.</t>
  </si>
  <si>
    <t>I built a Windows controller and ESP32 firmware that wake the PC over the home network, check each connection stage, and launch Moonlight when the desktop is ready.</t>
  </si>
  <si>
    <t>https://github.com/Albjav12345/remote-pc-bridge</t>
  </si>
  <si>
    <t>DataCraft</t>
  </si>
  <si>
    <t>Visual JSON tools for Unity</t>
  </si>
  <si>
    <t>Game data, API responses and player saves often live in scattered files and custom scripts. Unity teams need a visual workflow with a reliable path to gameplay.</t>
  </si>
  <si>
    <t>I built a commercial Unity asset for typed templates, linked instances, JSON/CSV transfer, API-to-C# generation and local saves. Validation and explicit catalog publishing keep editable drafts, gameplay data and player progress separate.</t>
  </si>
  <si>
    <t>https://albjav12345.itch.io/datacraft</t>
  </si>
  <si>
    <t>feature</t>
  </si>
  <si>
    <t>Independent Unity asset</t>
  </si>
  <si>
    <t>datacraft-gallery-1|datacraft-gallery-2|datacraft-gallery-3|datacraft-gallery-4|datacraft-gallery-5|datacraft-gallery-6|datacraft-gallery-7|datacraft-gallery-8</t>
  </si>
  <si>
    <t>https://www.youtube-nocookie.com/embed/Uqpto9OyuA0</t>
  </si>
  <si>
    <t>Review copy, star rating, featured placement, and avatar assets.</t>
  </si>
  <si>
    <t>Prev: Projects</t>
  </si>
  <si>
    <t>Next: Contact</t>
  </si>
  <si>
    <t>sourceKey</t>
  </si>
  <si>
    <t>labelOverride</t>
  </si>
  <si>
    <t>clientName</t>
  </si>
  <si>
    <t>clientType</t>
  </si>
  <si>
    <t>serviceOverride</t>
  </si>
  <si>
    <t>review</t>
  </si>
  <si>
    <t>starRating</t>
  </si>
  <si>
    <t>gigTitle</t>
  </si>
  <si>
    <t>createdAt</t>
  </si>
  <si>
    <t>featured</t>
  </si>
  <si>
    <t>featuredOrder</t>
  </si>
  <si>
    <t>highlighted</t>
  </si>
  <si>
    <t>unity-progress-communication</t>
  </si>
  <si>
    <t>Indie Founder / First Delivery</t>
  </si>
  <si>
    <t>Unity UI / Editor Tools</t>
  </si>
  <si>
    <t>It's been a pleasure working with Alberto. He has been great at communicating the the progress of the project, sharing updates and asking for feedback to ensure requirements where meet. He has been pleasant to work with and delivered a very professional job. Will definitely recommend for UI Unity projects and hope to work with again.</t>
  </si>
  <si>
    <t>create professional unity editor windows or game uis with uxml</t>
  </si>
  <si>
    <t>2024-06-16T19:22:08Z</t>
  </si>
  <si>
    <t>LIBRARY</t>
  </si>
  <si>
    <t>unity-fast-delivery</t>
  </si>
  <si>
    <t>Solo Developer / Tight Deadline</t>
  </si>
  <si>
    <t>Very professional job. Sent timely updates during the project. Asked for clarification when needed and delivered sooner than we originally agreed.</t>
  </si>
  <si>
    <t>2024-07-02T16:25:00Z</t>
  </si>
  <si>
    <t>FEATURED</t>
  </si>
  <si>
    <t>unity-communication</t>
  </si>
  <si>
    <t>Indie Buyer / Feedback Loop</t>
  </si>
  <si>
    <t>Great work and great communication.</t>
  </si>
  <si>
    <t>2024-07-05T20:42:58Z</t>
  </si>
  <si>
    <t>unity-great-work</t>
  </si>
  <si>
    <t>Game Creator / Small Sprint</t>
  </si>
  <si>
    <t>Great work!</t>
  </si>
  <si>
    <t>2024-07-21T14:05:57Z</t>
  </si>
  <si>
    <t>unity-complex-ownership</t>
  </si>
  <si>
    <t>Indie Studio / Systems Owner</t>
  </si>
  <si>
    <t>Unity UI / Game Systems</t>
  </si>
  <si>
    <t>Much better than expected. He did a good job with somewhat complex tasks and overcame them quite well. He has not only limited himself to the main stuff, but contributed with ideas and helped me in other aspects of the project. He's done his work against the clock, with commitment and eagerness to do a well done job, so I hope we could work soon again together!</t>
  </si>
  <si>
    <t>create professional unity game uis or editor windows with ui toolkit</t>
  </si>
  <si>
    <t>2024-07-29T16:57:35Z</t>
  </si>
  <si>
    <t>FEATURED / HIGHLIGHTED</t>
  </si>
  <si>
    <t>unity-repeat-client</t>
  </si>
  <si>
    <t>Returning Buyer / Active Build</t>
  </si>
  <si>
    <t>Great work as always</t>
  </si>
  <si>
    <t>2024-09-27T19:47:17Z</t>
  </si>
  <si>
    <t>automation-seo-detail</t>
  </si>
  <si>
    <t>Local Brand / Image Library</t>
  </si>
  <si>
    <t>Automation / Metadata Workflow</t>
  </si>
  <si>
    <t>I had a fantastic experience working with this professional. The attention to detail in optimizing my images for SEO, including the meticulous work with geotags, keywords, and descriptions, was exceptional. Every instruction I provided was followed precisely, and the final files were delivered in perfect order. Highly recommended for anyone looking to enhance their visual content for better search engine performance. I will definitely use their services again!</t>
  </si>
  <si>
    <t>edit photos and videos metadata for easy gallery managing</t>
  </si>
  <si>
    <t>2024-11-07T20:02:11Z</t>
  </si>
  <si>
    <t>automation-exceeded-expectations</t>
  </si>
  <si>
    <t>Agency Owner / Client Handoff</t>
  </si>
  <si>
    <t>Automation / SEO Workflow</t>
  </si>
  <si>
    <t>Alberto Medina truly exceeded my expectations with his attention to detail and professionalism. Working with him was a pleasure; he was cooperative, went above and beyond, and remained polite throughout. Highly recommend! 👏</t>
  </si>
  <si>
    <t>edit photos and videos metadata for gallery and seo managing</t>
  </si>
  <si>
    <t>2024-11-08T22:07:56Z</t>
  </si>
  <si>
    <t>automation-gallery-spanish</t>
  </si>
  <si>
    <t>Photo Seller / Gallery Sorting</t>
  </si>
  <si>
    <t>Muy satisfecho con el servicio. Este vendedor hizo un excelente trabajo ajustando los metadatos de 30 fotos para que se ordenen correctamente en mi galería. Fue rápido y eficiente, justo lo que necesitaba. Estaré encantado de volver a trabajar con el en un futuro!</t>
  </si>
  <si>
    <t>2024-11-09T18:29:07Z</t>
  </si>
  <si>
    <t>automation-fiverr-credit</t>
  </si>
  <si>
    <t>Content Team / Process Cleanup</t>
  </si>
  <si>
    <t>Alberto is a real credit to Fiverr. Exceptional talent. Highly recommended. Hope to work with him again.</t>
  </si>
  <si>
    <t>2024-11-19T14:13:23Z</t>
  </si>
  <si>
    <t>automation-outstanding-work</t>
  </si>
  <si>
    <t>Shop Owner / Batch Delivery</t>
  </si>
  <si>
    <t>Thank you very much, I am surprised by the very, very good work, it exceeded my expectations. I will let Alberto do more projects. Thanks again for your outstanding work!</t>
  </si>
  <si>
    <t>2024-12-08T08:55:41Z</t>
  </si>
  <si>
    <t>automation-communication-timelines</t>
  </si>
  <si>
    <t>SEO Consultant / Revision Round</t>
  </si>
  <si>
    <t>Alberto is exceptional, quick understanding, excellent communication and meeting expectations and timelines. He did any revisions needed with no hassle. Highly recommended.</t>
  </si>
  <si>
    <t>2024-12-12T19:03:03Z</t>
  </si>
  <si>
    <t>automation-wonderful-details</t>
  </si>
  <si>
    <t>Media Archive / Detail Pass</t>
  </si>
  <si>
    <t>Wonderful details</t>
  </si>
  <si>
    <t>2024-12-15T18:18:51Z</t>
  </si>
  <si>
    <t>automation-vigor</t>
  </si>
  <si>
    <t>Ops Support / Bulk Task</t>
  </si>
  <si>
    <t>Handled the task with vigor</t>
  </si>
  <si>
    <t>edit photos and videos metadata for seo and gallery managing</t>
  </si>
  <si>
    <t>2025-01-06T09:56:00Z</t>
  </si>
  <si>
    <t>automation-fast-turnaround</t>
  </si>
  <si>
    <t>Urgent Order / Quick Turnaround</t>
  </si>
  <si>
    <t>Good job and fast</t>
  </si>
  <si>
    <t>2025-01-06T17:58:51Z</t>
  </si>
  <si>
    <t>automation-highly-recommend</t>
  </si>
  <si>
    <t>Returning Buyer / Quick Fix</t>
  </si>
  <si>
    <t>He's great. I highly recommend</t>
  </si>
  <si>
    <t>2025-01-30T18:59:30Z</t>
  </si>
  <si>
    <t>automation-nice-guy</t>
  </si>
  <si>
    <t>Solo Operator / One-Off Request</t>
  </si>
  <si>
    <t>Nice guy he does his work good! Go check him out guys</t>
  </si>
  <si>
    <t>2025-01-31T10:10:16Z</t>
  </si>
  <si>
    <t>Primary contact copy, form labels, response states, and endpoint info.</t>
  </si>
  <si>
    <t>Prev: Testimonials</t>
  </si>
  <si>
    <t>Next: Assets</t>
  </si>
  <si>
    <t>label</t>
  </si>
  <si>
    <t>titleLine1</t>
  </si>
  <si>
    <t>titleLine2</t>
  </si>
  <si>
    <t>endpointLabel</t>
  </si>
  <si>
    <t>email</t>
  </si>
  <si>
    <t>formNameLabel</t>
  </si>
  <si>
    <t>formNamePlaceholder</t>
  </si>
  <si>
    <t>formEmailLabel</t>
  </si>
  <si>
    <t>formEmailPlaceholder</t>
  </si>
  <si>
    <t>formMessageLabel</t>
  </si>
  <si>
    <t>formMessagePlaceholder</t>
  </si>
  <si>
    <t>submitIdle</t>
  </si>
  <si>
    <t>submitSending</t>
  </si>
  <si>
    <t>submitSuccess</t>
  </si>
  <si>
    <t>submitError</t>
  </si>
  <si>
    <t>Direct Communication</t>
  </si>
  <si>
    <t>READY TO</t>
  </si>
  <si>
    <t>BUILD.</t>
  </si>
  <si>
    <t>For product engineering roles, freelance builds, or systems work, share the context and the outcome you need. We can scope the next step from there.</t>
  </si>
  <si>
    <t>Primary_Contact</t>
  </si>
  <si>
    <t>amedina.amg.dev@gmail.com</t>
  </si>
  <si>
    <t>USER_IDENTITY.src</t>
  </si>
  <si>
    <t>Enter your name...</t>
  </si>
  <si>
    <t>RETURN_PATH.void</t>
  </si>
  <si>
    <t>your@email.com</t>
  </si>
  <si>
    <t>DATA_PAYLOAD.txt</t>
  </si>
  <si>
    <t>Describe your project, system, or idea...</t>
  </si>
  <si>
    <t>EXECUTE_TRANSMISSION</t>
  </si>
  <si>
    <t>TRANSMITTING...</t>
  </si>
  <si>
    <t>SUCCESS_CONFIRMED</t>
  </si>
  <si>
    <t>TRANSMISSION_ERROR</t>
  </si>
  <si>
    <t>Central asset registry. For existing_public assets, edit sourceValue as the canonical path; targetPublicPath is mainly for import_local copies.</t>
  </si>
  <si>
    <t>Prev: Contact</t>
  </si>
  <si>
    <t>Next: Asset Preview Index</t>
  </si>
  <si>
    <t>assetId</t>
  </si>
  <si>
    <t>kind</t>
  </si>
  <si>
    <t>mode</t>
  </si>
  <si>
    <t>sourceValue</t>
  </si>
  <si>
    <t>targetPublicPath</t>
  </si>
  <si>
    <t>alt</t>
  </si>
  <si>
    <t>notes</t>
  </si>
  <si>
    <t>resolvedUrl</t>
  </si>
  <si>
    <t>openSource</t>
  </si>
  <si>
    <t>openResolved</t>
  </si>
  <si>
    <t>usedBy</t>
  </si>
  <si>
    <t>previewLink</t>
  </si>
  <si>
    <t>/assets/alberto.webp</t>
  </si>
  <si>
    <t>Alberto Medina Garcia avatar</t>
  </si>
  <si>
    <t>Main profile avatar</t>
  </si>
  <si>
    <t>Profile avatar</t>
  </si>
  <si>
    <t>/assets/projects/visual-interfaces.mp4</t>
  </si>
  <si>
    <t>Unity Developer demo video</t>
  </si>
  <si>
    <t>Unity Developer master video source</t>
  </si>
  <si>
    <t>Unity Interface Systems video</t>
  </si>
  <si>
    <t>/assets/projects/visual-interfaces.png</t>
  </si>
  <si>
    <t>Unity Developer thumbnail</t>
  </si>
  <si>
    <t>Unity Developer poster image</t>
  </si>
  <si>
    <t>Unity Interface Systems thumbnail</t>
  </si>
  <si>
    <t>/assets/projects/unity.webp</t>
  </si>
  <si>
    <t>Unity Developer icon</t>
  </si>
  <si>
    <t>Unity Developer icon asset</t>
  </si>
  <si>
    <t>Unity Interface Systems icon</t>
  </si>
  <si>
    <t>/assets/projects/zero-touch-ai.mp4</t>
  </si>
  <si>
    <t>Smart Inbox Manager demo video</t>
  </si>
  <si>
    <t>Smart Inbox Manager master video source</t>
  </si>
  <si>
    <t>Smart Inbox Manager video</t>
  </si>
  <si>
    <t>/assets/projects/zero-touch-ai.png</t>
  </si>
  <si>
    <t>Smart Inbox Manager thumbnail</t>
  </si>
  <si>
    <t>Smart Inbox Manager poster image</t>
  </si>
  <si>
    <t>/assets/projects/outlook-icon.webp</t>
  </si>
  <si>
    <t>Smart Inbox Manager icon</t>
  </si>
  <si>
    <t>Smart Inbox Manager icon asset</t>
  </si>
  <si>
    <t>/assets/projects/padel-booking.mp4</t>
  </si>
  <si>
    <t>Paddle Booking App demo video</t>
  </si>
  <si>
    <t>Paddle Booking App master video source</t>
  </si>
  <si>
    <t>Padel Booking Platform video</t>
  </si>
  <si>
    <t>/assets/projects/padel-booking.png</t>
  </si>
  <si>
    <t>Paddle Booking App thumbnail</t>
  </si>
  <si>
    <t>Paddle Booking App poster image</t>
  </si>
  <si>
    <t>Padel Booking Platform thumbnail</t>
  </si>
  <si>
    <t>/assets/projects/padel-booking-logo.png</t>
  </si>
  <si>
    <t>Paddle Booking App icon</t>
  </si>
  <si>
    <t>Paddle Booking App icon asset</t>
  </si>
  <si>
    <t>Padel Booking Platform icon</t>
  </si>
  <si>
    <t>/assets/projects/twitch-live.mp4</t>
  </si>
  <si>
    <t>Twitch Live Analytics demo video</t>
  </si>
  <si>
    <t>Twitch Live Analytics master video source</t>
  </si>
  <si>
    <t>Twitch Live Analytics video</t>
  </si>
  <si>
    <t>/assets/projects/twitch-live.png</t>
  </si>
  <si>
    <t>Twitch Live Analytics thumbnail</t>
  </si>
  <si>
    <t>Twitch Live Analytics poster image</t>
  </si>
  <si>
    <t>/assets/projects/twitch-icon.webp</t>
  </si>
  <si>
    <t>Twitch Live Analytics icon</t>
  </si>
  <si>
    <t>Twitch Live Analytics icon asset</t>
  </si>
  <si>
    <t>/assets/projects/usb-extraction.mp4</t>
  </si>
  <si>
    <t>USB Exfiltration demo video</t>
  </si>
  <si>
    <t>USB Exfiltration master video source</t>
  </si>
  <si>
    <t>USB Exfiltration Tool video</t>
  </si>
  <si>
    <t>/assets/projects/usb-extraction.png</t>
  </si>
  <si>
    <t>USB Exfiltration thumbnail</t>
  </si>
  <si>
    <t>USB Exfiltration poster image</t>
  </si>
  <si>
    <t>USB Exfiltration Tool thumbnail</t>
  </si>
  <si>
    <t>/assets/projects/terminal.ico</t>
  </si>
  <si>
    <t>USB Exfiltration icon</t>
  </si>
  <si>
    <t>USB Exfiltration icon asset</t>
  </si>
  <si>
    <t>USB Exfiltration Tool icon</t>
  </si>
  <si>
    <t>/assets/testimonials/client3.png</t>
  </si>
  <si>
    <t>Anonymized Fiverr client avatar</t>
  </si>
  <si>
    <t>Avatar used by anonymized Fiverr testimonials</t>
  </si>
  <si>
    <t>automation-outstanding-work avatar</t>
  </si>
  <si>
    <t>/assets/testimonials/client2.png</t>
  </si>
  <si>
    <t>unity-great-work avatar</t>
  </si>
  <si>
    <t>/assets/testimonials/client1.png</t>
  </si>
  <si>
    <t>automation-nice-guy avatar</t>
  </si>
  <si>
    <t>/assets/testimonials/client4.png</t>
  </si>
  <si>
    <t>automation-wonderful-details avatar</t>
  </si>
  <si>
    <t>/assets/testimonials/client5.jpg</t>
  </si>
  <si>
    <t>Synthetic avatar used by anonymized Fiverr testimonials</t>
  </si>
  <si>
    <t>automation-seo-detail avatar</t>
  </si>
  <si>
    <t>/assets/testimonials/client6.jpg</t>
  </si>
  <si>
    <t>automation-fast-turnaround avatar</t>
  </si>
  <si>
    <t>/assets/testimonials/client7.jpg</t>
  </si>
  <si>
    <t>automation-vigor avatar</t>
  </si>
  <si>
    <t>/assets/testimonials/client8.jpg</t>
  </si>
  <si>
    <t>2 refs | unity-progress-communication avatar</t>
  </si>
  <si>
    <t>/assets/testimonials/client9.jpg</t>
  </si>
  <si>
    <t>No references</t>
  </si>
  <si>
    <t>/assets/testimonials/client10.jpg</t>
  </si>
  <si>
    <t>/assets/testimonials/client11.jpg</t>
  </si>
  <si>
    <t>automation-highly-recommend avatar</t>
  </si>
  <si>
    <t>/assets/testimonials/pack-leaf.svg</t>
  </si>
  <si>
    <t>Anonymized Fiverr client icon avatar</t>
  </si>
  <si>
    <t>Provided icon avatar used by anonymized Fiverr testimonials</t>
  </si>
  <si>
    <t>automation-exceeded-expectations avatar</t>
  </si>
  <si>
    <t>/assets/testimonials/pack-av.svg</t>
  </si>
  <si>
    <t>automation-fiverr-credit avatar</t>
  </si>
  <si>
    <t>/assets/testimonials/pack-signature-v2.svg</t>
  </si>
  <si>
    <t>automation-communication-timelines avatar</t>
  </si>
  <si>
    <t>/assets/testimonials/client12.jpg</t>
  </si>
  <si>
    <t>Generated profile avatar used by anonymized Fiverr testimonials</t>
  </si>
  <si>
    <t>unity-complex-ownership avatar</t>
  </si>
  <si>
    <t>/assets/testimonials/client13.jpg</t>
  </si>
  <si>
    <t>unity-fast-delivery avatar</t>
  </si>
  <si>
    <t>/assets/testimonials/client14.jpg</t>
  </si>
  <si>
    <t>unity-communication avatar</t>
  </si>
  <si>
    <t>/assets/testimonials/client15.jpg</t>
  </si>
  <si>
    <t>unity-repeat-client avatar</t>
  </si>
  <si>
    <t>/assets/testimonials/pack-smark.svg</t>
  </si>
  <si>
    <t>Provided icon avatar available for anonymized Fiverr testimonials</t>
  </si>
  <si>
    <t>/assets/testimonials/pack-mountain.svg</t>
  </si>
  <si>
    <t>/assets/projects/remote-pc-bridge.mp4</t>
  </si>
  <si>
    <t>Remote PC Bridge interface and PC demo</t>
  </si>
  <si>
    <t>Master video from supplied project footage</t>
  </si>
  <si>
    <t>Remote PC Bridge video</t>
  </si>
  <si>
    <t>/assets/projects/remote-pc-bridge.jpg</t>
  </si>
  <si>
    <t>Remote PC Bridge dashboard in dark and light themes</t>
  </si>
  <si>
    <t>Poster frame from supplied project footage</t>
  </si>
  <si>
    <t>Remote PC Bridge thumbnail</t>
  </si>
  <si>
    <t>/assets/projects/remote-pc-bridge-icon.png</t>
  </si>
  <si>
    <t>Remote PC Bridge icon</t>
  </si>
  <si>
    <t>Project icon</t>
  </si>
  <si>
    <t>/assets/projects/datacraft/cover.webp</t>
  </si>
  <si>
    <t>DataCraft: game data made visual, with the JSON Designer and Emberfall demo</t>
  </si>
  <si>
    <t>Original DataCraft product artwork; web export. Demo uses the YouTube video embedded in the public itch.io listing.</t>
  </si>
  <si>
    <t>DataCraft thumbnail</t>
  </si>
  <si>
    <t>/assets/projects/datacraft/symbol.svg</t>
  </si>
  <si>
    <t>DataCraft original Ensamble symbol</t>
  </si>
  <si>
    <t>DataCraft icon</t>
  </si>
  <si>
    <t>/assets/projects/datacraft/02-Visual-authoring.webp</t>
  </si>
  <si>
    <t>Visual authoring: typed templates and fields in JSON Designer</t>
  </si>
  <si>
    <t>DataCraft gallery</t>
  </si>
  <si>
    <t>/assets/projects/datacraft/03-Templates-instances.webp</t>
  </si>
  <si>
    <t>Templates and instances: reuse a schema for different weapons</t>
  </si>
  <si>
    <t>/assets/projects/datacraft/04-Template-references.webp</t>
  </si>
  <si>
    <t>Template references: link enemies to their weapon data</t>
  </si>
  <si>
    <t>/assets/projects/datacraft/05-Unity-integration.webp</t>
  </si>
  <si>
    <t>Unity integration: DataCraft docked in the Unity Editor</t>
  </si>
  <si>
    <t>/assets/projects/datacraft/06-API-workflow.webp</t>
  </si>
  <si>
    <t>JSON APIs: configure endpoints and preview typed C#</t>
  </si>
  <si>
    <t>/assets/projects/datacraft/07-Client-to-gameplay.webp</t>
  </si>
  <si>
    <t>Client to gameplay: use generated API clients in a game</t>
  </si>
  <si>
    <t>/assets/projects/datacraft/08-Save-progress.webp</t>
  </si>
  <si>
    <t>Save progress: inspect local JSON saves from gameplay</t>
  </si>
  <si>
    <t>/assets/projects/datacraft/09-Flexible-workspace.webp</t>
  </si>
  <si>
    <t>Flexible workspace: wide, compact and docked Editor layouts</t>
  </si>
  <si>
    <t>/assets/projects/datacraft-demo.mp4</t>
  </si>
  <si>
    <t>DataCraft published demonstration video</t>
  </si>
  <si>
    <t>Original published YouTube demo Uqpto9OyuA0. Used to derive the light gallery preview and native modal video.</t>
  </si>
  <si>
    <t>DataCraft video</t>
  </si>
  <si>
    <t>Visual asset browser with cached previews for image, vector, and video-backed media.</t>
  </si>
  <si>
    <t>Prev: Assets</t>
  </si>
  <si>
    <t>preview</t>
  </si>
  <si>
    <t>Brand lockup and terminal button label.</t>
  </si>
  <si>
    <t>ADVANCED DATA SHEET | LAST SYNC 2026-10-25 20:55:30 UTC</t>
  </si>
  <si>
    <t>Supporting data sheet. Changes here feed one or more primary editing surfaces.</t>
  </si>
  <si>
    <t>brandFirst</t>
  </si>
  <si>
    <t>brandLast</t>
  </si>
  <si>
    <t>logoIcon</t>
  </si>
  <si>
    <t>terminalButton</t>
  </si>
  <si>
    <t>AMEDINA</t>
  </si>
  <si>
    <t>.DEV</t>
  </si>
  <si>
    <t>TERM_ACCESS</t>
  </si>
  <si>
    <t>Route labels, hrefs, and section enablement.</t>
  </si>
  <si>
    <t>href</t>
  </si>
  <si>
    <t>home</t>
  </si>
  <si>
    <t>Start</t>
  </si>
  <si>
    <t>/</t>
  </si>
  <si>
    <t>ENABLED</t>
  </si>
  <si>
    <t>About</t>
  </si>
  <si>
    <t>/about</t>
  </si>
  <si>
    <t>Systems</t>
  </si>
  <si>
    <t>/projects</t>
  </si>
  <si>
    <t>tech-stack</t>
  </si>
  <si>
    <t>Stack</t>
  </si>
  <si>
    <t>/stack</t>
  </si>
  <si>
    <t>Architect</t>
  </si>
  <si>
    <t>/architect</t>
  </si>
  <si>
    <t>DISABLED</t>
  </si>
  <si>
    <t>contact</t>
  </si>
  <si>
    <t>/contact</t>
  </si>
  <si>
    <t>Long-form biography paragraphs in display order.</t>
  </si>
  <si>
    <t>paragraph_id</t>
  </si>
  <si>
    <t>text</t>
  </si>
  <si>
    <t>bio-1</t>
  </si>
  <si>
    <t>I'm Alberto, a Computer Engineering student. Alongside my degree, I build my own projects and work with clients, putting what I learn into practice.</t>
  </si>
  <si>
    <t>bio-2</t>
  </si>
  <si>
    <t>My first projects were in game development with Unity and C#, from game interfaces to editor tools. That is where I started paying attention to both the code and the experience of using it.</t>
  </si>
  <si>
    <t>bio-3</t>
  </si>
  <si>
    <t>Since then, I've also worked on web applications and automation. I created DataCraft, my Unity asset for game data, JSON APIs and local saves, and I continue developing personal projects while studying.</t>
  </si>
  <si>
    <t>Quick metrics shown in the profile/about section.</t>
  </si>
  <si>
    <t>value</t>
  </si>
  <si>
    <t>Projects Delivered</t>
  </si>
  <si>
    <t>25+</t>
  </si>
  <si>
    <t>delivery</t>
  </si>
  <si>
    <t>On-Time Delivery</t>
  </si>
  <si>
    <t>100%</t>
  </si>
  <si>
    <t>global</t>
  </si>
  <si>
    <t>Global Clients</t>
  </si>
  <si>
    <t>12+</t>
  </si>
  <si>
    <t>years</t>
  </si>
  <si>
    <t>Years Experience</t>
  </si>
  <si>
    <t>5+</t>
  </si>
  <si>
    <t>Small metadata chips shown in the landing hero.</t>
  </si>
  <si>
    <t>Delivery_Focus</t>
  </si>
  <si>
    <t>PRODUCTS / AUTOMATION / AI</t>
  </si>
  <si>
    <t>Work_Mode</t>
  </si>
  <si>
    <t>SPAIN / REMOTE</t>
  </si>
  <si>
    <t>Terminal shell labels and tooltip copy.</t>
  </si>
  <si>
    <t>headerTitle</t>
  </si>
  <si>
    <t>welcomeMessage</t>
  </si>
  <si>
    <t>tooltipTitle</t>
  </si>
  <si>
    <t>tooltipDescription</t>
  </si>
  <si>
    <t>tooltipUsage</t>
  </si>
  <si>
    <t>portfolio-agent -- evidence-mode</t>
  </si>
  <si>
    <t>Open the portfolio guide...</t>
  </si>
  <si>
    <t>Portfolio Guide</t>
  </si>
  <si>
    <t>Grounded in selected projects, CV routes, and live GitHub context when available.</t>
  </si>
  <si>
    <t>Use /help, paste a role after /fit, or ask to compare two systems.</t>
  </si>
  <si>
    <t>Initial and greeting lines for the terminal experience.</t>
  </si>
  <si>
    <t>group</t>
  </si>
  <si>
    <t>color</t>
  </si>
  <si>
    <t>&gt;&gt;&gt; PORTFOLIO_AGENT: READY</t>
  </si>
  <si>
    <t>INITIAL / READY</t>
  </si>
  <si>
    <t>&gt;&gt;&gt; CONTEXT: PROJECTS + CV + LIVE_GITHUB</t>
  </si>
  <si>
    <t>&gt;&gt;&gt; MODES: ASK / COMPARE / RECRUITER_FIT</t>
  </si>
  <si>
    <t>&gt;&gt;&gt; COMMANDS: /help /fit /projects /cv /github /contact</t>
  </si>
  <si>
    <t>&gt; GUEST_SESSION READY</t>
  </si>
  <si>
    <t>GREETING / READY</t>
  </si>
  <si>
    <t>&gt; ASK NATURALLY OR RUN /HELP</t>
  </si>
  <si>
    <t>Tooltip bullets that explain what the terminal can do.</t>
  </si>
  <si>
    <t>Maps role requirements to specific project evidence and honest gaps.</t>
  </si>
  <si>
    <t>Compares projects, architecture choices, and engineering trade-offs.</t>
  </si>
  <si>
    <t>Opens the CV, selected systems, GitHub, stack, and contact routes.</t>
  </si>
  <si>
    <t>Uses live GitHub activity when available and falls back to portfolio evidence.</t>
  </si>
  <si>
    <t>Section badge ids and two-line labels across the site.</t>
  </si>
  <si>
    <t>section_id</t>
  </si>
  <si>
    <t>line1</t>
  </si>
  <si>
    <t>line2</t>
  </si>
  <si>
    <t>SYS_01</t>
  </si>
  <si>
    <t>A little</t>
  </si>
  <si>
    <t>background.</t>
  </si>
  <si>
    <t>SYS_02</t>
  </si>
  <si>
    <t>Selected</t>
  </si>
  <si>
    <t>Systems.</t>
  </si>
  <si>
    <t>SYS_03</t>
  </si>
  <si>
    <t>Technical</t>
  </si>
  <si>
    <t>Stack.</t>
  </si>
  <si>
    <t>SYS_04</t>
  </si>
  <si>
    <t>Project</t>
  </si>
  <si>
    <t>Architect.</t>
  </si>
  <si>
    <t>SYS_00</t>
  </si>
  <si>
    <t>SYSTEM</t>
  </si>
  <si>
    <t>CONSOLE</t>
  </si>
  <si>
    <t>Top-level skill groups, icons, colors, and ordering.</t>
  </si>
  <si>
    <t>category_id</t>
  </si>
  <si>
    <t>Core Development</t>
  </si>
  <si>
    <t>AI &amp; Vision Workflows</t>
  </si>
  <si>
    <t>Frontend &amp; Interactive Systems</t>
  </si>
  <si>
    <t>Infra &amp; Delivery</t>
  </si>
  <si>
    <t>Individual skills attached to a category id.</t>
  </si>
  <si>
    <t>Python</t>
  </si>
  <si>
    <t>C#</t>
  </si>
  <si>
    <t>SQL / NoSQL</t>
  </si>
  <si>
    <t>Node.js</t>
  </si>
  <si>
    <t>Multithreading</t>
  </si>
  <si>
    <t>API Design</t>
  </si>
  <si>
    <t>Groq (Llama 3)</t>
  </si>
  <si>
    <t>Tesseract OCR</t>
  </si>
  <si>
    <t>Selenium</t>
  </si>
  <si>
    <t>Data Processing</t>
  </si>
  <si>
    <t>Inference</t>
  </si>
  <si>
    <t>React</t>
  </si>
  <si>
    <t>Unity 3D</t>
  </si>
  <si>
    <t>Tailwind CSS</t>
  </si>
  <si>
    <t>Motion Design</t>
  </si>
  <si>
    <t>HLSL Shaders</t>
  </si>
  <si>
    <t>Firebase</t>
  </si>
  <si>
    <t>Supabase</t>
  </si>
  <si>
    <t>Git / GitHub</t>
  </si>
  <si>
    <t>Vercel</t>
  </si>
  <si>
    <t>Vite</t>
  </si>
  <si>
    <t>Postman</t>
  </si>
  <si>
    <t>Technology tags associated with each project.</t>
  </si>
  <si>
    <t>project_id</t>
  </si>
  <si>
    <t>Flask</t>
  </si>
  <si>
    <t>Llama 3</t>
  </si>
  <si>
    <t>React + Vite</t>
  </si>
  <si>
    <t>Tailwind</t>
  </si>
  <si>
    <t>Framer Motion</t>
  </si>
  <si>
    <t>Twitch API</t>
  </si>
  <si>
    <t>Tkinter</t>
  </si>
  <si>
    <t>PowerShell</t>
  </si>
  <si>
    <t>Batch</t>
  </si>
  <si>
    <t>WMI/CIM</t>
  </si>
  <si>
    <t>OPSEC</t>
  </si>
  <si>
    <t>C# / .NET 8</t>
  </si>
  <si>
    <t>ESP32 / Arduino</t>
  </si>
  <si>
    <t>Firebase Realtime Database</t>
  </si>
  <si>
    <t>Tailscale + Moonlight</t>
  </si>
  <si>
    <t>Unity 6</t>
  </si>
  <si>
    <t>UI Toolkit</t>
  </si>
  <si>
    <t>JSON / CSV</t>
  </si>
  <si>
    <t>UnityWebRequest</t>
  </si>
  <si>
    <t>UPM</t>
  </si>
  <si>
    <t>Architecture nodes associated with each project.</t>
  </si>
  <si>
    <t>workflow</t>
  </si>
  <si>
    <t>Unity Core</t>
  </si>
  <si>
    <t>C# Systems</t>
  </si>
  <si>
    <t>Motion UI</t>
  </si>
  <si>
    <t>Outlook</t>
  </si>
  <si>
    <t>Python Backend</t>
  </si>
  <si>
    <t>Groq Llama 3</t>
  </si>
  <si>
    <t>Web UI</t>
  </si>
  <si>
    <t>Serverless</t>
  </si>
  <si>
    <t>Event Listeners</t>
  </si>
  <si>
    <t>PWA Cache</t>
  </si>
  <si>
    <t>Reactive State</t>
  </si>
  <si>
    <t>Screen Capture</t>
  </si>
  <si>
    <t>Dashboard</t>
  </si>
  <si>
    <t>Background Polling</t>
  </si>
  <si>
    <t>UAC Evasion</t>
  </si>
  <si>
    <t>File-Lock Bypass</t>
  </si>
  <si>
    <t>Encrypted Exfiltration</t>
  </si>
  <si>
    <t>Windows Controller</t>
  </si>
  <si>
    <t>Firebase Command Bus</t>
  </si>
  <si>
    <t>ESP32 Wake-on-LAN</t>
  </si>
  <si>
    <t>Sunshine + Moonlight</t>
  </si>
  <si>
    <t>Define typed templates</t>
  </si>
  <si>
    <t>Game data</t>
  </si>
  <si>
    <t>Create linked instances</t>
  </si>
  <si>
    <t>Validate drafts</t>
  </si>
  <si>
    <t>Publish Project Data</t>
  </si>
  <si>
    <t>Read by stable ID</t>
  </si>
  <si>
    <t>Configure endpoint / paste JSON</t>
  </si>
  <si>
    <t>JSON APIs</t>
  </si>
  <si>
    <t>Review C# preview</t>
  </si>
  <si>
    <t>Generate DTOs &amp; client</t>
  </si>
  <si>
    <t>Integrate in gameplay</t>
  </si>
  <si>
    <t>Save player progress</t>
  </si>
  <si>
    <t>Local saves</t>
  </si>
  <si>
    <t>Write local JSON</t>
  </si>
  <si>
    <t>Inspect &amp; review in Files</t>
  </si>
  <si>
    <t>Load saved state</t>
  </si>
  <si>
    <t>Source presets and source-level labels used by testimonials.</t>
  </si>
  <si>
    <t>source</t>
  </si>
  <si>
    <t>orderLabel</t>
  </si>
  <si>
    <t>Fiverr</t>
  </si>
  <si>
    <t>Verified Fiverr Client</t>
  </si>
  <si>
    <t>Fiverr Client</t>
  </si>
  <si>
    <t>From completed Fiverr order</t>
  </si>
  <si>
    <t>Direct Client</t>
  </si>
  <si>
    <t>Verified Client</t>
  </si>
  <si>
    <t>Private Client</t>
  </si>
  <si>
    <t>From completed client project</t>
  </si>
  <si>
    <t>Social links rendered inside the contact section.</t>
  </si>
  <si>
    <t>url</t>
  </si>
  <si>
    <t>GitHub</t>
  </si>
  <si>
    <t>LinkedIn</t>
  </si>
  <si>
    <t>X</t>
  </si>
  <si>
    <t>https://x.com/Albjav12345</t>
  </si>
  <si>
    <t>https://www.upwork.com/freelancers/~0177774c838e1e7798</t>
  </si>
  <si>
    <t>Latency, encryption, uptime, and similar metadata labels.</t>
  </si>
  <si>
    <t>activeValue</t>
  </si>
  <si>
    <t>Latency</t>
  </si>
  <si>
    <t>&lt; 24H_RESP</t>
  </si>
  <si>
    <t>SIGNAL_CALC...</t>
  </si>
  <si>
    <t>Encryption</t>
  </si>
  <si>
    <t>TLS_1.3</t>
  </si>
  <si>
    <t>Uptime</t>
  </si>
  <si>
    <t>99.9%_AVAIL</t>
  </si>
  <si>
    <t>Footer labels, status line, location, and vessel id.</t>
  </si>
  <si>
    <t>status</t>
  </si>
  <si>
    <t>location</t>
  </si>
  <si>
    <t>vesselId</t>
  </si>
  <si>
    <t>System Status: All Systems Operational</t>
  </si>
  <si>
    <t>AUTO_PORT_V2.0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</si>
</sst>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x14ac:knownFonts="1">
    <font>
      <color theme="1"/>
      <family val="2"/>
      <scheme val="minor"/>
      <sz val="11"/>
      <name val="Calibri"/>
    </font>
    <font>
      <b/>
      <color rgb="FFFFFFFF"/>
      <sz val="24"/>
      <name val="Segoe UI"/>
    </font>
    <font>
      <color rgb="FFC7D5E0"/>
      <sz val="11"/>
      <name val="Segoe UI"/>
    </font>
    <font>
      <b/>
      <color rgb="FF14F195"/>
      <sz val="9"/>
      <name val="Consolas"/>
    </font>
    <font>
      <color rgb="FF94A3B8"/>
      <sz val="9"/>
      <name val="Segoe UI"/>
    </font>
    <font>
      <b/>
      <color rgb="FF16A34A"/>
      <sz val="11"/>
      <name val="Consolas"/>
    </font>
    <font>
      <b/>
      <color rgb="FF06B6D4"/>
      <sz val="11"/>
      <name val="Consolas"/>
    </font>
    <font>
      <b/>
      <color rgb="FF22C55E"/>
      <sz val="11"/>
      <name val="Consolas"/>
    </font>
    <font>
      <b/>
      <color rgb="FFFFFFFF"/>
      <sz val="15"/>
      <name val="Segoe UI"/>
    </font>
    <font>
      <color rgb="FFB9CAD8"/>
      <sz val="10"/>
      <name val="Segoe UI"/>
    </font>
    <font>
      <b/>
      <color rgb="FF16A34A"/>
      <sz val="9"/>
      <name val="Consolas"/>
    </font>
    <font>
      <b/>
      <color rgb="FF06B6D4"/>
      <sz val="9"/>
      <name val="Consolas"/>
    </font>
    <font>
      <b/>
      <color rgb="FF22C55E"/>
      <sz val="9"/>
      <name val="Consolas"/>
    </font>
    <font>
      <b/>
      <color rgb="FF38BDF8"/>
      <sz val="11"/>
      <name val="Consolas"/>
    </font>
    <font>
      <b/>
      <color rgb="FF8B5CF6"/>
      <sz val="11"/>
      <name val="Consolas"/>
    </font>
    <font>
      <b/>
      <color rgb="FF38BDF8"/>
      <sz val="9"/>
      <name val="Consolas"/>
    </font>
    <font>
      <b/>
      <color rgb="FF8B5CF6"/>
      <sz val="9"/>
      <name val="Consolas"/>
    </font>
    <font>
      <b/>
      <color rgb="FF14F195"/>
      <sz val="10"/>
      <name val="Consolas"/>
    </font>
    <font>
      <color rgb="FFE5EEF5"/>
      <sz val="11"/>
      <name val="Segoe UI"/>
    </font>
    <font>
      <color rgb="FFC7D5E0"/>
      <sz val="9"/>
      <name val="Segoe UI"/>
    </font>
    <font>
      <b/>
      <color rgb="FF94A3B8"/>
      <sz val="11"/>
      <name val="Consolas"/>
    </font>
    <font>
      <b/>
      <color rgb="FF64748B"/>
      <sz val="10"/>
      <name val="Consolas"/>
    </font>
    <font>
      <b/>
      <color rgb="FFCBD5E1"/>
      <sz val="9"/>
      <name val="Consolas"/>
    </font>
    <font>
      <b/>
      <color rgb="FFFFFFFF"/>
      <sz val="22"/>
      <name val="Segoe UI"/>
    </font>
    <font>
      <b/>
      <color rgb="FF7DD3FC"/>
      <sz val="9"/>
      <name val="Consolas"/>
    </font>
    <font>
      <b/>
      <color rgb="FF38BDF8"/>
      <sz val="10"/>
      <name val="Consolas"/>
    </font>
    <font>
      <b/>
      <color rgb="FF8B5CF6"/>
      <sz val="10"/>
      <name val="Consolas"/>
    </font>
    <font>
      <color rgb="FFE5EEF5"/>
      <sz val="10"/>
      <name val="Segoe UI"/>
    </font>
    <font>
      <b/>
      <color rgb="FF06B6D4"/>
      <sz val="10"/>
      <name val="Consolas"/>
    </font>
    <font>
      <b/>
      <color rgb="FF22C55E"/>
      <sz val="10"/>
      <name val="Consolas"/>
    </font>
    <font>
      <b/>
      <color rgb="FFFFFFFF"/>
      <sz val="10"/>
      <name val="Consolas"/>
    </font>
    <font>
      <b/>
      <color rgb="FFFFFFFF"/>
      <sz val="20"/>
      <name val="Segoe UI"/>
    </font>
    <font>
      <color rgb="FFC7D5E0"/>
      <sz val="10"/>
      <name val="Segoe UI"/>
    </font>
    <font>
      <b/>
      <color rgb="FF9FE870"/>
      <sz val="9"/>
      <name val="Consolas"/>
    </font>
    <font>
      <b/>
      <color rgb="FFD8B4FE"/>
      <sz val="9"/>
      <name val="Consolas"/>
    </font>
    <font>
      <b/>
      <color rgb="FFFFFFFF"/>
      <sz val="11"/>
      <name val="Consolas"/>
    </font>
    <font>
      <color rgb="FFE5EEF5"/>
      <sz val="10"/>
      <name val="Consolas"/>
    </font>
    <font>
      <u/>
      <color rgb="FF7DD3FC"/>
      <sz val="10"/>
      <name val="Consolas"/>
    </font>
    <font>
      <color rgb="FF94F1CF"/>
      <sz val="10"/>
      <name val="Consolas"/>
    </font>
    <font>
      <b/>
      <color rgb="FF334155"/>
      <sz val="9"/>
      <name val="Consolas"/>
    </font>
  </fonts>
  <fills count="20">
    <fill>
      <patternFill patternType="none"/>
    </fill>
    <fill>
      <patternFill patternType="gray125"/>
    </fill>
    <fill>
      <patternFill patternType="solid">
        <fgColor rgb="FF071019"/>
      </patternFill>
    </fill>
    <fill>
      <patternFill patternType="solid">
        <fgColor rgb="FF0E1824"/>
      </patternFill>
    </fill>
    <fill>
      <patternFill patternType="solid">
        <fgColor rgb="FF0F1824"/>
      </patternFill>
    </fill>
    <fill>
      <patternFill patternType="solid">
        <fgColor rgb="FF101A27"/>
      </patternFill>
    </fill>
    <fill>
      <patternFill patternType="solid">
        <fgColor rgb="FF122130"/>
      </patternFill>
    </fill>
    <fill>
      <patternFill patternType="solid">
        <fgColor rgb="FF09111A"/>
      </patternFill>
    </fill>
    <fill>
      <patternFill patternType="solid">
        <fgColor rgb="FF0F1720"/>
      </patternFill>
    </fill>
    <fill>
      <patternFill patternType="solid">
        <fgColor rgb="FF121B28"/>
      </patternFill>
    </fill>
    <fill>
      <patternFill patternType="solid">
        <fgColor rgb="FF172231"/>
      </patternFill>
    </fill>
    <fill>
      <patternFill patternType="solid">
        <fgColor rgb="FF0B1119"/>
      </patternFill>
    </fill>
    <fill>
      <patternFill patternType="solid">
        <fgColor rgb="FF173124"/>
      </patternFill>
    </fill>
    <fill>
      <patternFill patternType="solid">
        <fgColor rgb="FF162130"/>
      </patternFill>
    </fill>
    <fill>
      <patternFill patternType="solid">
        <fgColor rgb="FF2A1B3A"/>
      </patternFill>
    </fill>
    <fill>
      <patternFill patternType="solid">
        <fgColor rgb="FF0E2A26"/>
      </patternFill>
    </fill>
    <fill>
      <patternFill patternType="solid">
        <fgColor rgb="FF101824"/>
      </patternFill>
    </fill>
    <fill>
      <patternFill patternType="solid">
        <fgColor rgb="FF102923"/>
      </patternFill>
    </fill>
    <fill>
      <patternFill patternType="solid">
        <fgColor rgb="FF0D1621"/>
      </patternFill>
    </fill>
    <fill>
      <patternFill patternType="solid">
        <fgColor rgb="FF20162D"/>
      </patternFill>
    </fill>
  </fills>
  <borders count="17">
    <border>
      <left/>
      <right/>
      <top/>
      <bottom/>
      <diagonal/>
    </border>
    <border>
      <left style="thin">
        <color rgb="223B4958"/>
      </left>
      <right style="thin">
        <color rgb="223B4958"/>
      </right>
      <top style="thin">
        <color rgb="223B4958"/>
      </top>
      <bottom style="thin">
        <color rgb="223B4958"/>
      </bottom>
      <diagonal/>
    </border>
    <border>
      <left style="thin">
        <color rgb="FF16A34A"/>
      </left>
      <right style="thin">
        <color rgb="223B4958"/>
      </right>
      <top style="thin">
        <color rgb="223B4958"/>
      </top>
      <bottom style="thin">
        <color rgb="223B4958"/>
      </bottom>
      <diagonal/>
    </border>
    <border>
      <left style="thin">
        <color rgb="FF06B6D4"/>
      </left>
      <right style="thin">
        <color rgb="223B4958"/>
      </right>
      <top style="thin">
        <color rgb="223B4958"/>
      </top>
      <bottom style="thin">
        <color rgb="223B4958"/>
      </bottom>
      <diagonal/>
    </border>
    <border>
      <left style="thin">
        <color rgb="FF22C55E"/>
      </left>
      <right style="thin">
        <color rgb="223B4958"/>
      </right>
      <top style="thin">
        <color rgb="223B4958"/>
      </top>
      <bottom style="thin">
        <color rgb="223B4958"/>
      </bottom>
      <diagonal/>
    </border>
    <border>
      <left style="thin">
        <color rgb="FF16A34A"/>
      </left>
      <right style="thin">
        <color rgb="FF16A34A"/>
      </right>
      <top style="thin">
        <color rgb="FF16A34A"/>
      </top>
      <bottom style="thin">
        <color rgb="223B4958"/>
      </bottom>
      <diagonal/>
    </border>
    <border>
      <left style="thin">
        <color rgb="FF06B6D4"/>
      </left>
      <right style="thin">
        <color rgb="FF06B6D4"/>
      </right>
      <top style="thin">
        <color rgb="FF06B6D4"/>
      </top>
      <bottom style="thin">
        <color rgb="223B4958"/>
      </bottom>
      <diagonal/>
    </border>
    <border>
      <left style="thin">
        <color rgb="FF22C55E"/>
      </left>
      <right style="thin">
        <color rgb="FF22C55E"/>
      </right>
      <top style="thin">
        <color rgb="FF22C55E"/>
      </top>
      <bottom style="thin">
        <color rgb="223B4958"/>
      </bottom>
      <diagonal/>
    </border>
    <border>
      <left style="thin">
        <color rgb="FF38BDF8"/>
      </left>
      <right style="thin">
        <color rgb="223B4958"/>
      </right>
      <top style="thin">
        <color rgb="223B4958"/>
      </top>
      <bottom style="thin">
        <color rgb="223B4958"/>
      </bottom>
      <diagonal/>
    </border>
    <border>
      <left style="thin">
        <color rgb="FF8B5CF6"/>
      </left>
      <right style="thin">
        <color rgb="223B4958"/>
      </right>
      <top style="thin">
        <color rgb="223B4958"/>
      </top>
      <bottom style="thin">
        <color rgb="223B4958"/>
      </bottom>
      <diagonal/>
    </border>
    <border>
      <left style="thin">
        <color rgb="FF38BDF8"/>
      </left>
      <right style="thin">
        <color rgb="FF38BDF8"/>
      </right>
      <top style="thin">
        <color rgb="FF38BDF8"/>
      </top>
      <bottom style="thin">
        <color rgb="223B4958"/>
      </bottom>
      <diagonal/>
    </border>
    <border>
      <left style="thin">
        <color rgb="FF8B5CF6"/>
      </left>
      <right style="thin">
        <color rgb="FF8B5CF6"/>
      </right>
      <top style="thin">
        <color rgb="FF8B5CF6"/>
      </top>
      <bottom style="thin">
        <color rgb="223B4958"/>
      </bottom>
      <diagonal/>
    </border>
    <border>
      <left style="thin">
        <color rgb="FF14F195"/>
      </left>
      <right style="thin">
        <color rgb="223B4958"/>
      </right>
      <top style="thin">
        <color rgb="223B4958"/>
      </top>
      <bottom style="thin">
        <color rgb="223B4958"/>
      </bottom>
      <diagonal/>
    </border>
    <border>
      <left style="thin">
        <color rgb="FF14F195"/>
      </left>
      <right style="thin">
        <color rgb="FF14F195"/>
      </right>
      <top style="thin">
        <color rgb="FF14F195"/>
      </top>
      <bottom style="thin">
        <color rgb="223B4958"/>
      </bottom>
      <diagonal/>
    </border>
    <border>
      <left style="thin">
        <color rgb="FF64748B"/>
      </left>
      <right style="thin">
        <color rgb="223B4958"/>
      </right>
      <top style="thin">
        <color rgb="223B4958"/>
      </top>
      <bottom style="thin">
        <color rgb="223B4958"/>
      </bottom>
      <diagonal/>
    </border>
    <border>
      <left style="thin">
        <color rgb="FF64748B"/>
      </left>
      <right style="thin">
        <color rgb="FF64748B"/>
      </right>
      <top style="thin">
        <color rgb="FF64748B"/>
      </top>
      <bottom style="thin">
        <color rgb="223B4958"/>
      </bottom>
      <diagonal/>
    </border>
    <border>
      <left style="thin">
        <color rgb="FF334155"/>
      </left>
      <right style="thin">
        <color rgb="FF334155"/>
      </right>
      <top style="thin">
        <color rgb="FF334155"/>
      </top>
      <bottom style="thin">
        <color rgb="223B4958"/>
      </bottom>
      <diagonal/>
    </border>
  </borders>
  <cellStyleXfs count="1">
    <xf numFmtId="0" fontId="0" fillId="0" borderId="0"/>
  </cellStyleXfs>
  <cellXfs count="96">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center"/>
    </xf>
    <xf numFmtId="0" fontId="3" fillId="3" borderId="1" xfId="0" applyFont="1" applyFill="1" applyBorder="1" applyAlignment="1">
      <alignment horizontal="left" vertical="center"/>
    </xf>
    <xf numFmtId="0" fontId="4" fillId="4" borderId="1" xfId="0" applyFont="1" applyFill="1" applyBorder="1" applyAlignment="1">
      <alignment horizontal="left" vertical="center" wrapText="1"/>
    </xf>
    <xf numFmtId="0" fontId="5" fillId="5" borderId="2" xfId="0" applyFont="1" applyFill="1" applyBorder="1" applyAlignment="1">
      <alignment horizontal="left" vertical="center"/>
    </xf>
    <xf numFmtId="0" fontId="6" fillId="5" borderId="3" xfId="0" applyFont="1" applyFill="1" applyBorder="1" applyAlignment="1">
      <alignment horizontal="left" vertical="center"/>
    </xf>
    <xf numFmtId="0" fontId="7" fillId="5" borderId="4" xfId="0" applyFont="1" applyFill="1" applyBorder="1" applyAlignment="1">
      <alignment horizontal="left" vertical="center"/>
    </xf>
    <xf numFmtId="0" fontId="8" fillId="5" borderId="2" xfId="0" applyFont="1" applyFill="1" applyBorder="1" applyAlignment="1">
      <alignment horizontal="left" vertical="center" wrapText="1"/>
    </xf>
    <xf numFmtId="0" fontId="8" fillId="5" borderId="3" xfId="0" applyFont="1" applyFill="1" applyBorder="1" applyAlignment="1">
      <alignment horizontal="left" vertical="center" wrapText="1"/>
    </xf>
    <xf numFmtId="0" fontId="8" fillId="5" borderId="4" xfId="0" applyFont="1" applyFill="1" applyBorder="1" applyAlignment="1">
      <alignment horizontal="left" vertical="center" wrapText="1"/>
    </xf>
    <xf numFmtId="0" fontId="9" fillId="5" borderId="2" xfId="0" applyFont="1" applyFill="1" applyBorder="1" applyAlignment="1">
      <alignment horizontal="left" vertical="center" wrapText="1"/>
    </xf>
    <xf numFmtId="0" fontId="10" fillId="6" borderId="5" xfId="0" applyFont="1" applyFill="1" applyBorder="1" applyAlignment="1">
      <alignment horizontal="center" vertical="center" wrapText="1" shrinkToFit="1"/>
    </xf>
    <xf numFmtId="0" fontId="9" fillId="5" borderId="3" xfId="0" applyFont="1" applyFill="1" applyBorder="1" applyAlignment="1">
      <alignment horizontal="left" vertical="center" wrapText="1"/>
    </xf>
    <xf numFmtId="0" fontId="11" fillId="6" borderId="6" xfId="0" applyFont="1" applyFill="1" applyBorder="1" applyAlignment="1">
      <alignment horizontal="center" vertical="center" wrapText="1" shrinkToFit="1"/>
    </xf>
    <xf numFmtId="0" fontId="9" fillId="5" borderId="4" xfId="0" applyFont="1" applyFill="1" applyBorder="1" applyAlignment="1">
      <alignment horizontal="left" vertical="center" wrapText="1"/>
    </xf>
    <xf numFmtId="0" fontId="12" fillId="6" borderId="7" xfId="0" applyFont="1" applyFill="1" applyBorder="1" applyAlignment="1">
      <alignment horizontal="center" vertical="center" wrapText="1" shrinkToFit="1"/>
    </xf>
    <xf numFmtId="0" fontId="13" fillId="5" borderId="8" xfId="0" applyFont="1" applyFill="1" applyBorder="1" applyAlignment="1">
      <alignment horizontal="left" vertical="center"/>
    </xf>
    <xf numFmtId="0" fontId="14" fillId="5" borderId="9" xfId="0" applyFont="1" applyFill="1" applyBorder="1" applyAlignment="1">
      <alignment horizontal="left" vertical="center"/>
    </xf>
    <xf numFmtId="0" fontId="8" fillId="5" borderId="8" xfId="0" applyFont="1" applyFill="1" applyBorder="1" applyAlignment="1">
      <alignment horizontal="left" vertical="center" wrapText="1"/>
    </xf>
    <xf numFmtId="0" fontId="8" fillId="5" borderId="9" xfId="0" applyFont="1" applyFill="1" applyBorder="1" applyAlignment="1">
      <alignment horizontal="left" vertical="center" wrapText="1"/>
    </xf>
    <xf numFmtId="0" fontId="9" fillId="5" borderId="8" xfId="0" applyFont="1" applyFill="1" applyBorder="1" applyAlignment="1">
      <alignment horizontal="left" vertical="center" wrapText="1"/>
    </xf>
    <xf numFmtId="0" fontId="15" fillId="6" borderId="10" xfId="0" applyFont="1" applyFill="1" applyBorder="1" applyAlignment="1">
      <alignment horizontal="center" vertical="center" wrapText="1" shrinkToFit="1"/>
    </xf>
    <xf numFmtId="0" fontId="9" fillId="5" borderId="9" xfId="0" applyFont="1" applyFill="1" applyBorder="1" applyAlignment="1">
      <alignment horizontal="left" vertical="center" wrapText="1"/>
    </xf>
    <xf numFmtId="0" fontId="16" fillId="6" borderId="11" xfId="0" applyFont="1" applyFill="1" applyBorder="1" applyAlignment="1">
      <alignment horizontal="center" vertical="center" wrapText="1" shrinkToFit="1"/>
    </xf>
    <xf numFmtId="0" fontId="0" fillId="7" borderId="1" xfId="0" applyFill="1" applyBorder="1"/>
    <xf numFmtId="0" fontId="13" fillId="4" borderId="8" xfId="0" applyFont="1" applyFill="1" applyBorder="1" applyAlignment="1">
      <alignment horizontal="left" vertical="center"/>
    </xf>
    <xf numFmtId="0" fontId="17" fillId="4" borderId="12" xfId="0" applyFont="1" applyFill="1" applyBorder="1" applyAlignment="1">
      <alignment horizontal="left" vertical="center"/>
    </xf>
    <xf numFmtId="0" fontId="18" fillId="4" borderId="8" xfId="0" applyFont="1" applyFill="1" applyBorder="1" applyAlignment="1">
      <alignment horizontal="left" vertical="top" wrapText="1"/>
    </xf>
    <xf numFmtId="0" fontId="19" fillId="4" borderId="12" xfId="0" applyFont="1" applyFill="1" applyBorder="1" applyAlignment="1">
      <alignment horizontal="left" vertical="center"/>
    </xf>
    <xf numFmtId="0" fontId="3" fillId="6" borderId="13" xfId="0" applyFont="1" applyFill="1" applyBorder="1" applyAlignment="1">
      <alignment horizontal="center" vertical="center" wrapText="1" shrinkToFit="1"/>
    </xf>
    <xf numFmtId="0" fontId="20" fillId="8" borderId="1" xfId="0" applyFont="1" applyFill="1" applyBorder="1" applyAlignment="1">
      <alignment horizontal="left" vertical="center"/>
    </xf>
    <xf numFmtId="0" fontId="21" fillId="9" borderId="14" xfId="0" applyFont="1" applyFill="1" applyBorder="1" applyAlignment="1">
      <alignment horizontal="left" vertical="center"/>
    </xf>
    <xf numFmtId="0" fontId="4" fillId="9" borderId="14" xfId="0" applyFont="1" applyFill="1" applyBorder="1" applyAlignment="1">
      <alignment horizontal="left" vertical="center"/>
    </xf>
    <xf numFmtId="0" fontId="22" fillId="10" borderId="15" xfId="0" applyFont="1" applyFill="1" applyBorder="1" applyAlignment="1">
      <alignment horizontal="center" vertical="center" wrapText="1" shrinkToFit="1"/>
    </xf>
    <xf numFmtId="0" fontId="0" fillId="9" borderId="14" xfId="0" applyFill="1" applyBorder="1"/>
    <xf numFmtId="0" fontId="0" fillId="9" borderId="1" xfId="0" applyFill="1" applyBorder="1"/>
    <xf numFmtId="0" fontId="23" fillId="11" borderId="1" xfId="0" applyFont="1" applyFill="1" applyBorder="1" applyAlignment="1">
      <alignment horizontal="left" vertical="center"/>
    </xf>
    <xf numFmtId="0" fontId="2" fillId="5" borderId="1" xfId="0" applyFont="1" applyFill="1" applyBorder="1" applyAlignment="1">
      <alignment horizontal="left" vertical="center" wrapText="1"/>
    </xf>
    <xf numFmtId="0" fontId="24" fillId="5" borderId="1" xfId="0" applyFont="1" applyFill="1" applyBorder="1" applyAlignment="1">
      <alignment horizontal="left" vertical="center"/>
    </xf>
    <xf numFmtId="0" fontId="17" fillId="5" borderId="12" xfId="0" applyFont="1" applyFill="1" applyBorder="1" applyAlignment="1">
      <alignment horizontal="left" vertical="center"/>
    </xf>
    <xf numFmtId="0" fontId="25" fillId="5" borderId="8" xfId="0" applyFont="1" applyFill="1" applyBorder="1" applyAlignment="1">
      <alignment horizontal="left" vertical="center"/>
    </xf>
    <xf numFmtId="0" fontId="26" fillId="5" borderId="9" xfId="0" applyFont="1" applyFill="1" applyBorder="1" applyAlignment="1">
      <alignment horizontal="left" vertical="center"/>
    </xf>
    <xf numFmtId="0" fontId="27" fillId="5" borderId="12" xfId="0" applyFont="1" applyFill="1" applyBorder="1" applyAlignment="1">
      <alignment horizontal="left" vertical="top" wrapText="1"/>
    </xf>
    <xf numFmtId="0" fontId="27" fillId="5" borderId="8" xfId="0" applyFont="1" applyFill="1" applyBorder="1" applyAlignment="1">
      <alignment horizontal="left" vertical="top" wrapText="1"/>
    </xf>
    <xf numFmtId="0" fontId="27" fillId="5" borderId="9" xfId="0" applyFont="1" applyFill="1" applyBorder="1" applyAlignment="1">
      <alignment horizontal="left" vertical="top" wrapText="1"/>
    </xf>
    <xf numFmtId="0" fontId="28" fillId="5" borderId="3" xfId="0" applyFont="1" applyFill="1" applyBorder="1" applyAlignment="1">
      <alignment horizontal="left" vertical="center"/>
    </xf>
    <xf numFmtId="0" fontId="29" fillId="5" borderId="4" xfId="0" applyFont="1" applyFill="1" applyBorder="1" applyAlignment="1">
      <alignment horizontal="left" vertical="center"/>
    </xf>
    <xf numFmtId="0" fontId="27" fillId="5" borderId="3" xfId="0" applyFont="1" applyFill="1" applyBorder="1" applyAlignment="1">
      <alignment horizontal="left" vertical="top" wrapText="1"/>
    </xf>
    <xf numFmtId="0" fontId="27" fillId="5" borderId="4" xfId="0" applyFont="1" applyFill="1" applyBorder="1" applyAlignment="1">
      <alignment horizontal="left" vertical="top" wrapText="1"/>
    </xf>
    <xf numFmtId="0" fontId="25" fillId="4" borderId="8" xfId="0" applyFont="1" applyFill="1" applyBorder="1" applyAlignment="1">
      <alignment horizontal="left" vertical="center"/>
    </xf>
    <xf numFmtId="0" fontId="4" fillId="9" borderId="1" xfId="0" applyFont="1" applyFill="1" applyBorder="1" applyAlignment="1">
      <alignment horizontal="left" vertical="center" wrapText="1"/>
    </xf>
    <xf numFmtId="0" fontId="30" fillId="8" borderId="0" xfId="0" applyFont="1" applyFill="1"/>
    <xf numFmtId="0" fontId="0" fillId="0" borderId="0" xfId="0" applyAlignment="1">
      <alignment vertical="top"/>
    </xf>
    <xf numFmtId="0" fontId="0" fillId="0" borderId="0" xfId="0" applyAlignment="1">
      <alignment vertical="top" wrapText="1"/>
    </xf>
    <xf numFmtId="0" fontId="31" fillId="11" borderId="1" xfId="0" applyFont="1" applyFill="1" applyBorder="1" applyAlignment="1">
      <alignment horizontal="left" vertical="center"/>
    </xf>
    <xf numFmtId="0" fontId="32" fillId="5" borderId="1" xfId="0" applyFont="1" applyFill="1" applyBorder="1" applyAlignment="1">
      <alignment horizontal="left" vertical="center" wrapText="1"/>
    </xf>
    <xf numFmtId="0" fontId="10" fillId="5" borderId="1" xfId="0" applyFont="1" applyFill="1" applyBorder="1" applyAlignment="1">
      <alignment horizontal="left" vertical="center"/>
    </xf>
    <xf numFmtId="0" fontId="33" fillId="12" borderId="1" xfId="0" applyFont="1" applyFill="1" applyBorder="1" applyAlignment="1">
      <alignment horizontal="center" vertical="center"/>
    </xf>
    <xf numFmtId="0" fontId="22" fillId="13" borderId="1" xfId="0" applyFont="1" applyFill="1" applyBorder="1" applyAlignment="1">
      <alignment horizontal="center" vertical="center"/>
    </xf>
    <xf numFmtId="0" fontId="34" fillId="14" borderId="1" xfId="0" applyFont="1" applyFill="1" applyBorder="1" applyAlignment="1">
      <alignment horizontal="center" vertical="center"/>
    </xf>
    <xf numFmtId="0" fontId="24" fillId="15" borderId="1" xfId="0" applyFont="1" applyFill="1" applyBorder="1" applyAlignment="1">
      <alignment horizontal="center" vertical="center"/>
    </xf>
    <xf numFmtId="0" fontId="0" fillId="7" borderId="1" xfId="0" applyFill="1" applyBorder="1" applyAlignment="1">
      <alignment vertical="top" wrapText="1"/>
    </xf>
    <xf numFmtId="0" fontId="0" fillId="7" borderId="1" xfId="0" applyFill="1" applyBorder="1" applyAlignment="1">
      <alignment vertical="top"/>
    </xf>
    <xf numFmtId="0" fontId="4" fillId="8" borderId="1" xfId="0" applyFont="1" applyFill="1" applyBorder="1" applyAlignment="1">
      <alignment horizontal="left" vertical="center" wrapText="1"/>
    </xf>
    <xf numFmtId="0" fontId="35" fillId="12" borderId="1" xfId="0" applyFont="1" applyFill="1" applyBorder="1" applyAlignment="1">
      <alignment horizontal="left" vertical="center"/>
    </xf>
    <xf numFmtId="0" fontId="35" fillId="13" borderId="1" xfId="0" applyFont="1" applyFill="1" applyBorder="1" applyAlignment="1">
      <alignment horizontal="left" vertical="center"/>
    </xf>
    <xf numFmtId="0" fontId="35" fillId="15" borderId="1" xfId="0" applyFont="1" applyFill="1" applyBorder="1" applyAlignment="1">
      <alignment horizontal="left" vertical="center"/>
    </xf>
    <xf numFmtId="0" fontId="36" fillId="16" borderId="1" xfId="0" applyFont="1" applyFill="1" applyBorder="1" applyAlignment="1">
      <alignment vertical="top"/>
    </xf>
    <xf numFmtId="0" fontId="36" fillId="16" borderId="1" xfId="0" applyFont="1" applyFill="1" applyBorder="1" applyAlignment="1">
      <alignment vertical="top" wrapText="1"/>
    </xf>
    <xf numFmtId="0" fontId="37" fillId="16" borderId="1" xfId="0" applyFont="1" applyFill="1" applyBorder="1" applyAlignment="1">
      <alignment vertical="top"/>
    </xf>
    <xf numFmtId="0" fontId="36" fillId="17" borderId="1" xfId="0" applyFont="1" applyFill="1" applyBorder="1" applyAlignment="1">
      <alignment vertical="top"/>
    </xf>
    <xf numFmtId="0" fontId="36" fillId="18" borderId="1" xfId="0" applyFont="1" applyFill="1" applyBorder="1" applyAlignment="1">
      <alignment vertical="top"/>
    </xf>
    <xf numFmtId="0" fontId="36" fillId="18" borderId="1" xfId="0" applyFont="1" applyFill="1" applyBorder="1" applyAlignment="1">
      <alignment vertical="top" wrapText="1"/>
    </xf>
    <xf numFmtId="0" fontId="38" fillId="17" borderId="1" xfId="0" applyFont="1" applyFill="1" applyBorder="1" applyAlignment="1">
      <alignment vertical="top"/>
    </xf>
    <xf numFmtId="0" fontId="11" fillId="5" borderId="1" xfId="0" applyFont="1" applyFill="1" applyBorder="1" applyAlignment="1">
      <alignment horizontal="left" vertical="center"/>
    </xf>
    <xf numFmtId="49" fontId="36" fillId="16" borderId="1" xfId="0" applyNumberFormat="1" applyFont="1" applyFill="1" applyBorder="1" applyAlignment="1">
      <alignment vertical="top"/>
    </xf>
    <xf numFmtId="49" fontId="36" fillId="18" borderId="1" xfId="0" applyNumberFormat="1" applyFont="1" applyFill="1" applyBorder="1" applyAlignment="1">
      <alignment vertical="top"/>
    </xf>
    <xf numFmtId="0" fontId="37" fillId="18" borderId="1" xfId="0" applyFont="1" applyFill="1" applyBorder="1" applyAlignment="1">
      <alignment vertical="top"/>
    </xf>
    <xf numFmtId="0" fontId="12" fillId="5" borderId="1" xfId="0" applyFont="1" applyFill="1" applyBorder="1" applyAlignment="1">
      <alignment horizontal="left" vertical="center"/>
    </xf>
    <xf numFmtId="0" fontId="15" fillId="5" borderId="1" xfId="0" applyFont="1" applyFill="1" applyBorder="1" applyAlignment="1">
      <alignment horizontal="left" vertical="center"/>
    </xf>
    <xf numFmtId="0" fontId="16" fillId="5" borderId="1" xfId="0" applyFont="1" applyFill="1" applyBorder="1" applyAlignment="1">
      <alignment horizontal="left" vertical="center"/>
    </xf>
    <xf numFmtId="0" fontId="35" fillId="14" borderId="1" xfId="0" applyFont="1" applyFill="1" applyBorder="1" applyAlignment="1">
      <alignment horizontal="left" vertical="center"/>
    </xf>
    <xf numFmtId="0" fontId="36" fillId="19" borderId="1" xfId="0" applyFont="1" applyFill="1" applyBorder="1" applyAlignment="1">
      <alignment horizontal="left" vertical="top" wrapText="1"/>
    </xf>
    <xf numFmtId="0" fontId="37" fillId="14" borderId="1" xfId="0" applyFont="1" applyFill="1" applyBorder="1" applyAlignment="1">
      <alignment horizontal="left" vertical="top" wrapText="1"/>
    </xf>
    <xf numFmtId="0" fontId="38" fillId="17" borderId="1" xfId="0" applyFont="1" applyFill="1" applyBorder="1" applyAlignment="1">
      <alignment horizontal="left" vertical="top" wrapText="1"/>
    </xf>
    <xf numFmtId="0" fontId="36" fillId="14" borderId="1" xfId="0" applyFont="1" applyFill="1" applyBorder="1" applyAlignment="1">
      <alignment horizontal="left" vertical="top" wrapText="1"/>
    </xf>
    <xf numFmtId="0" fontId="36" fillId="19" borderId="1" xfId="0" applyFont="1" applyFill="1" applyBorder="1" applyAlignment="1">
      <alignment vertical="top" wrapText="1"/>
    </xf>
    <xf numFmtId="0" fontId="35" fillId="13" borderId="1" xfId="0" applyFont="1" applyFill="1" applyBorder="1"/>
    <xf numFmtId="0" fontId="35" fillId="14" borderId="1" xfId="0" applyFont="1" applyFill="1" applyBorder="1"/>
    <xf numFmtId="0" fontId="37" fillId="12" borderId="1" xfId="0" applyFont="1" applyFill="1" applyBorder="1" applyAlignment="1">
      <alignment horizontal="left" vertical="top" wrapText="1"/>
    </xf>
    <xf numFmtId="0" fontId="36" fillId="16" borderId="1" xfId="0" applyFont="1" applyFill="1" applyBorder="1" applyAlignment="1">
      <alignment horizontal="left" vertical="top" wrapText="1"/>
    </xf>
    <xf numFmtId="0" fontId="36" fillId="19" borderId="1" xfId="0" applyFont="1" applyFill="1" applyBorder="1" applyAlignment="1">
      <alignment horizontal="center" vertical="center" wrapText="1"/>
    </xf>
    <xf numFmtId="0" fontId="37" fillId="16" borderId="1" xfId="0" applyFont="1" applyFill="1" applyBorder="1" applyAlignment="1">
      <alignment horizontal="left" vertical="top" wrapText="1"/>
    </xf>
    <xf numFmtId="0" fontId="39" fillId="5" borderId="1" xfId="0" applyFont="1" applyFill="1" applyBorder="1" applyAlignment="1">
      <alignment horizontal="left" vertical="center"/>
    </xf>
    <xf numFmtId="0" fontId="39" fillId="6" borderId="16" xfId="0" applyFont="1" applyFill="1" applyBorder="1" applyAlignment="1">
      <alignment horizontal="center" vertical="center"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ROFILE&apos;!A8" TargetMode="External"/><Relationship Id="rId2" Type="http://schemas.openxmlformats.org/officeDocument/2006/relationships/hyperlink" Target="#&apos;PROJECTS&apos;!A8" TargetMode="External"/><Relationship Id="rId3" Type="http://schemas.openxmlformats.org/officeDocument/2006/relationships/hyperlink" Target="#&apos;TESTIMONIALS&apos;!A8" TargetMode="External"/><Relationship Id="rId4" Type="http://schemas.openxmlformats.org/officeDocument/2006/relationships/hyperlink" Target="#&apos;HERO&apos;!A8" TargetMode="External"/><Relationship Id="rId5" Type="http://schemas.openxmlformats.org/officeDocument/2006/relationships/hyperlink" Target="#&apos;CONTACT&apos;!A8" TargetMode="External"/><Relationship Id="rId6" Type="http://schemas.openxmlformats.org/officeDocument/2006/relationships/hyperlink" Target="#&apos;ASSETS&apos;!A8" TargetMode="External"/><Relationship Id="rId7" Type="http://schemas.openxmlformats.org/officeDocument/2006/relationships/hyperlink" Target="#&apos;README&apos;!A8" TargetMode="External"/><Relationship Id="rId8" Type="http://schemas.openxmlformats.org/officeDocument/2006/relationships/hyperlink" Target="#&apos;PROFILE&apos;!A8" TargetMode="External"/><Relationship Id="rId9" Type="http://schemas.openxmlformats.org/officeDocument/2006/relationships/hyperlink" Target="#&apos;PROJECTS&apos;!A8" TargetMode="External"/><Relationship Id="rId10" Type="http://schemas.openxmlformats.org/officeDocument/2006/relationships/hyperlink" Target="#&apos;TESTIMONIALS&apos;!A8" TargetMode="External"/><Relationship Id="rId11" Type="http://schemas.openxmlformats.org/officeDocument/2006/relationships/hyperlink" Target="#&apos;NAVIGATION_CONFIG&apos;!A8" TargetMode="External"/><Relationship Id="rId12" Type="http://schemas.openxmlformats.org/officeDocument/2006/relationships/hyperlink" Target="#&apos;ABOUT_BIO&apos;!A8" TargetMode="External"/><Relationship Id="rId13" Type="http://schemas.openxmlformats.org/officeDocument/2006/relationships/hyperlink" Target="#&apos;TERMINAL&apos;!A8" TargetMode="External"/><Relationship Id="rId14" Type="http://schemas.openxmlformats.org/officeDocument/2006/relationships/hyperlink" Target="#&apos;SKILL_CATEGORIES&apos;!A8" TargetMode="External"/><Relationship Id="rId15" Type="http://schemas.openxmlformats.org/officeDocument/2006/relationships/hyperlink" Target="#&apos;TESTIMONIAL_SOURCES&apos;!A8" TargetMode="External"/><Relationship Id="rId16" Type="http://schemas.openxmlformats.org/officeDocument/2006/relationships/hyperlink" Target="#&apos;NAVIGATION&apos;!A8" TargetMode="External"/><Relationship Id="rId17" Type="http://schemas.openxmlformats.org/officeDocument/2006/relationships/hyperlink" Target="#&apos;ABOUT_STATS&apos;!A8" TargetMode="External"/><Relationship Id="rId18" Type="http://schemas.openxmlformats.org/officeDocument/2006/relationships/hyperlink" Target="#&apos;TERMINAL_LINES&apos;!A8" TargetMode="External"/><Relationship Id="rId19" Type="http://schemas.openxmlformats.org/officeDocument/2006/relationships/hyperlink" Target="#&apos;SKILL_ITEMS&apos;!A8" TargetMode="External"/><Relationship Id="rId20" Type="http://schemas.openxmlformats.org/officeDocument/2006/relationships/hyperlink" Target="#&apos;CONTACT_SOCIAL&apos;!A8" TargetMode="External"/><Relationship Id="rId21" Type="http://schemas.openxmlformats.org/officeDocument/2006/relationships/hyperlink" Target="#&apos;SECTION_HEADERS&apos;!A8" TargetMode="External"/><Relationship Id="rId22" Type="http://schemas.openxmlformats.org/officeDocument/2006/relationships/hyperlink" Target="#&apos;HERO_METADATA&apos;!A8" TargetMode="External"/><Relationship Id="rId23" Type="http://schemas.openxmlformats.org/officeDocument/2006/relationships/hyperlink" Target="#&apos;TERMINAL_CAPABILITIES&apos;!A8" TargetMode="External"/><Relationship Id="rId24" Type="http://schemas.openxmlformats.org/officeDocument/2006/relationships/hyperlink" Target="#&apos;PROJECT_STACK&apos;!A8" TargetMode="External"/><Relationship Id="rId25" Type="http://schemas.openxmlformats.org/officeDocument/2006/relationships/hyperlink" Target="#&apos;CONTACT_METADATA&apos;!A8" TargetMode="External"/><Relationship Id="rId26" Type="http://schemas.openxmlformats.org/officeDocument/2006/relationships/hyperlink" Target="#&apos;PROJECT_ARCH&apos;!A8" TargetMode="External"/><Relationship Id="rId27" Type="http://schemas.openxmlformats.org/officeDocument/2006/relationships/hyperlink" Target="#&apos;FOOTER&apos;!A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PROFILE&apos;!A1" TargetMode="External"/><Relationship Id="rId3" Type="http://schemas.openxmlformats.org/officeDocument/2006/relationships/hyperlink" Target="#&apos;PROJECTS&apos;!A1" TargetMode="External"/><Relationship Id="rId4" Type="http://schemas.openxmlformats.org/officeDocument/2006/relationships/hyperlink" Target="#&apos;TESTIMONIALS&apos;!A1" TargetMode="External"/><Relationship Id="rId5" Type="http://schemas.openxmlformats.org/officeDocument/2006/relationships/hyperlink" Target="#&apos;ASSETS&apos;!A1" TargetMode="External"/><Relationship Id="rId6" Type="http://schemas.openxmlformats.org/officeDocument/2006/relationships/hyperlink" Target="#&apos;ASSET_PREVIEW&apos;!A1" TargetMode="External"/><Relationship Id="rId7" Type="http://schemas.openxmlformats.org/officeDocument/2006/relationships/hyperlink" Target="#&apos;PROFILE&apos;!A8" TargetMode="External"/><Relationship Id="rId8" Type="http://schemas.openxmlformats.org/officeDocument/2006/relationships/hyperlink" Target="#&apos;NAVIGATION_CONFIG&apos;!A8" TargetMode="External"/><Relationship Id="rId9" Type="http://schemas.openxmlformats.org/officeDocument/2006/relationships/hyperlink" Target="#&apos;HERO&apos;!A8" TargetMode="External"/><Relationship Id="rId10" Type="http://schemas.openxmlformats.org/officeDocument/2006/relationships/hyperlink" Target="#&apos;NAVIGATION&apos;!A8" TargetMode="External"/><Relationship Id="rId11" Type="http://schemas.openxmlformats.org/officeDocument/2006/relationships/hyperlink" Target="#&apos;PROJECTS&apos;!A8" TargetMode="External"/><Relationship Id="rId12" Type="http://schemas.openxmlformats.org/officeDocument/2006/relationships/hyperlink" Target="#&apos;ABOUT_BIO&apos;!A8" TargetMode="External"/><Relationship Id="rId13" Type="http://schemas.openxmlformats.org/officeDocument/2006/relationships/hyperlink" Target="#&apos;TESTIMONIALS&apos;!A8" TargetMode="External"/><Relationship Id="rId14" Type="http://schemas.openxmlformats.org/officeDocument/2006/relationships/hyperlink" Target="#&apos;ABOUT_STATS&apos;!A8" TargetMode="External"/><Relationship Id="rId15" Type="http://schemas.openxmlformats.org/officeDocument/2006/relationships/hyperlink" Target="#&apos;CONTACT&apos;!A8" TargetMode="External"/><Relationship Id="rId16" Type="http://schemas.openxmlformats.org/officeDocument/2006/relationships/hyperlink" Target="#&apos;HERO_METADATA&apos;!A8" TargetMode="External"/><Relationship Id="rId17" Type="http://schemas.openxmlformats.org/officeDocument/2006/relationships/hyperlink" Target="#&apos;ASSETS&apos;!A8" TargetMode="External"/><Relationship Id="rId18" Type="http://schemas.openxmlformats.org/officeDocument/2006/relationships/hyperlink" Target="#&apos;TERMINAL&apos;!A8" TargetMode="External"/><Relationship Id="rId19" Type="http://schemas.openxmlformats.org/officeDocument/2006/relationships/hyperlink" Target="#&apos;ASSET_PREVIEW&apos;!A8" TargetMode="External"/><Relationship Id="rId20" Type="http://schemas.openxmlformats.org/officeDocument/2006/relationships/hyperlink" Target="#&apos;TERMINAL_LINES&apos;!A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README&apos;!A1" TargetMode="External"/><Relationship Id="rId4" Type="http://schemas.openxmlformats.org/officeDocument/2006/relationships/hyperlink" Target="#&apos;HERO&apos;!A1" TargetMode="External"/><Relationship Id="rId5" Type="http://schemas.openxmlformats.org/officeDocument/2006/relationships/hyperlink" Target="#&apos;ABOUT_BIO&apos;!A8" TargetMode="External"/><Relationship Id="rId6" Type="http://schemas.openxmlformats.org/officeDocument/2006/relationships/hyperlink" Target="#&apos;ABOUT_STATS&apos;!A8" TargetMode="External"/><Relationship Id="rId7" Type="http://schemas.openxmlformats.org/officeDocument/2006/relationships/hyperlink" Target="#&apos;ASSETS&apos;!A8" TargetMode="External"/><Relationship Id="rId8" Type="http://schemas.openxmlformats.org/officeDocument/2006/relationships/hyperlink" Target="#&apos;ASSETS&apos;!A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PROFILE&apos;!A1" TargetMode="External"/><Relationship Id="rId4" Type="http://schemas.openxmlformats.org/officeDocument/2006/relationships/hyperlink" Target="#&apos;PROJECTS&apos;!A1" TargetMode="External"/><Relationship Id="rId5" Type="http://schemas.openxmlformats.org/officeDocument/2006/relationships/hyperlink" Target="#&apos;HERO_METADATA&apos;!A8" TargetMode="External"/><Relationship Id="rId6" Type="http://schemas.openxmlformats.org/officeDocument/2006/relationships/hyperlink" Target="#&apos;NAVIGATION&apos;!A8"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HERO&apos;!A1" TargetMode="External"/><Relationship Id="rId4" Type="http://schemas.openxmlformats.org/officeDocument/2006/relationships/hyperlink" Target="#&apos;TESTIMONIALS&apos;!A1" TargetMode="External"/><Relationship Id="rId5" Type="http://schemas.openxmlformats.org/officeDocument/2006/relationships/hyperlink" Target="#&apos;PROJECT_STACK&apos;!A8" TargetMode="External"/><Relationship Id="rId6" Type="http://schemas.openxmlformats.org/officeDocument/2006/relationships/hyperlink" Target="#&apos;PROJECT_ARCH&apos;!A8" TargetMode="External"/><Relationship Id="rId7" Type="http://schemas.openxmlformats.org/officeDocument/2006/relationships/hyperlink" Target="#&apos;ASSETS&apos;!A8" TargetMode="External"/><Relationship Id="rId8" Type="http://schemas.openxmlformats.org/officeDocument/2006/relationships/hyperlink" Target="#&apos;ASSETS&apos;!A10" TargetMode="External"/><Relationship Id="rId9" Type="http://schemas.openxmlformats.org/officeDocument/2006/relationships/hyperlink" Target="#&apos;ASSETS&apos;!A11" TargetMode="External"/><Relationship Id="rId10" Type="http://schemas.openxmlformats.org/officeDocument/2006/relationships/hyperlink" Target="#&apos;ASSETS&apos;!A12" TargetMode="External"/><Relationship Id="rId11" Type="http://schemas.openxmlformats.org/officeDocument/2006/relationships/hyperlink" Target="#&apos;ASSETS&apos;!A13" TargetMode="External"/><Relationship Id="rId12" Type="http://schemas.openxmlformats.org/officeDocument/2006/relationships/hyperlink" Target="#&apos;ASSETS&apos;!A14" TargetMode="External"/><Relationship Id="rId13" Type="http://schemas.openxmlformats.org/officeDocument/2006/relationships/hyperlink" Target="#&apos;ASSETS&apos;!A15" TargetMode="External"/><Relationship Id="rId14" Type="http://schemas.openxmlformats.org/officeDocument/2006/relationships/hyperlink" Target="#&apos;ASSETS&apos;!A16" TargetMode="External"/><Relationship Id="rId15" Type="http://schemas.openxmlformats.org/officeDocument/2006/relationships/hyperlink" Target="#&apos;ASSETS&apos;!A17" TargetMode="External"/><Relationship Id="rId16" Type="http://schemas.openxmlformats.org/officeDocument/2006/relationships/hyperlink" Target="#&apos;ASSETS&apos;!A18" TargetMode="External"/><Relationship Id="rId17" Type="http://schemas.openxmlformats.org/officeDocument/2006/relationships/hyperlink" Target="#&apos;ASSETS&apos;!A19" TargetMode="External"/><Relationship Id="rId18" Type="http://schemas.openxmlformats.org/officeDocument/2006/relationships/hyperlink" Target="#&apos;ASSETS&apos;!A20" TargetMode="External"/><Relationship Id="rId19" Type="http://schemas.openxmlformats.org/officeDocument/2006/relationships/hyperlink" Target="#&apos;ASSETS&apos;!A21" TargetMode="External"/><Relationship Id="rId20" Type="http://schemas.openxmlformats.org/officeDocument/2006/relationships/hyperlink" Target="#&apos;ASSETS&apos;!A22" TargetMode="External"/><Relationship Id="rId21" Type="http://schemas.openxmlformats.org/officeDocument/2006/relationships/hyperlink" Target="#&apos;ASSETS&apos;!A23" TargetMode="External"/><Relationship Id="rId22" Type="http://schemas.openxmlformats.org/officeDocument/2006/relationships/hyperlink" Target="#&apos;ASSETS&apos;!A24" TargetMode="External"/><Relationship Id="rId23" Type="http://schemas.openxmlformats.org/officeDocument/2006/relationships/hyperlink" Target="#&apos;ASSETS&apos;!A45" TargetMode="External"/><Relationship Id="rId24" Type="http://schemas.openxmlformats.org/officeDocument/2006/relationships/hyperlink" Target="#&apos;ASSETS&apos;!A46" TargetMode="External"/><Relationship Id="rId25" Type="http://schemas.openxmlformats.org/officeDocument/2006/relationships/hyperlink" Target="#&apos;ASSETS&apos;!A47" TargetMode="External"/><Relationship Id="rId26" Type="http://schemas.openxmlformats.org/officeDocument/2006/relationships/hyperlink" Target="#&apos;ASSETS&apos;!A58" TargetMode="External"/><Relationship Id="rId27" Type="http://schemas.openxmlformats.org/officeDocument/2006/relationships/hyperlink" Target="#&apos;ASSETS&apos;!A48" TargetMode="External"/><Relationship Id="rId28" Type="http://schemas.openxmlformats.org/officeDocument/2006/relationships/hyperlink" Target="#&apos;ASSETS&apos;!A4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PROJECTS&apos;!A1" TargetMode="External"/><Relationship Id="rId4" Type="http://schemas.openxmlformats.org/officeDocument/2006/relationships/hyperlink" Target="#&apos;CONTACT&apos;!A1" TargetMode="External"/><Relationship Id="rId5" Type="http://schemas.openxmlformats.org/officeDocument/2006/relationships/hyperlink" Target="#&apos;TESTIMONIAL_SOURCES&apos;!A8" TargetMode="External"/><Relationship Id="rId6" Type="http://schemas.openxmlformats.org/officeDocument/2006/relationships/hyperlink" Target="#&apos;ASSETS&apos;!A8" TargetMode="External"/><Relationship Id="rId7" Type="http://schemas.openxmlformats.org/officeDocument/2006/relationships/hyperlink" Target="#&apos;TESTIMONIAL_SOURCES&apos;!A9" TargetMode="External"/><Relationship Id="rId8" Type="http://schemas.openxmlformats.org/officeDocument/2006/relationships/hyperlink" Target="#&apos;ASSETS&apos;!A32" TargetMode="External"/><Relationship Id="rId9" Type="http://schemas.openxmlformats.org/officeDocument/2006/relationships/hyperlink" Target="#&apos;TESTIMONIAL_SOURCES&apos;!A9" TargetMode="External"/><Relationship Id="rId10" Type="http://schemas.openxmlformats.org/officeDocument/2006/relationships/hyperlink" Target="#&apos;ASSETS&apos;!A40" TargetMode="External"/><Relationship Id="rId11" Type="http://schemas.openxmlformats.org/officeDocument/2006/relationships/hyperlink" Target="#&apos;TESTIMONIAL_SOURCES&apos;!A9" TargetMode="External"/><Relationship Id="rId12" Type="http://schemas.openxmlformats.org/officeDocument/2006/relationships/hyperlink" Target="#&apos;ASSETS&apos;!A41" TargetMode="External"/><Relationship Id="rId13" Type="http://schemas.openxmlformats.org/officeDocument/2006/relationships/hyperlink" Target="#&apos;TESTIMONIAL_SOURCES&apos;!A9" TargetMode="External"/><Relationship Id="rId14" Type="http://schemas.openxmlformats.org/officeDocument/2006/relationships/hyperlink" Target="#&apos;ASSETS&apos;!A26" TargetMode="External"/><Relationship Id="rId15" Type="http://schemas.openxmlformats.org/officeDocument/2006/relationships/hyperlink" Target="#&apos;TESTIMONIAL_SOURCES&apos;!A9" TargetMode="External"/><Relationship Id="rId16" Type="http://schemas.openxmlformats.org/officeDocument/2006/relationships/hyperlink" Target="#&apos;ASSETS&apos;!A39" TargetMode="External"/><Relationship Id="rId17" Type="http://schemas.openxmlformats.org/officeDocument/2006/relationships/hyperlink" Target="#&apos;TESTIMONIAL_SOURCES&apos;!A9" TargetMode="External"/><Relationship Id="rId18" Type="http://schemas.openxmlformats.org/officeDocument/2006/relationships/hyperlink" Target="#&apos;ASSETS&apos;!A42" TargetMode="External"/><Relationship Id="rId19" Type="http://schemas.openxmlformats.org/officeDocument/2006/relationships/hyperlink" Target="#&apos;TESTIMONIAL_SOURCES&apos;!A9" TargetMode="External"/><Relationship Id="rId20" Type="http://schemas.openxmlformats.org/officeDocument/2006/relationships/hyperlink" Target="#&apos;ASSETS&apos;!A29" TargetMode="External"/><Relationship Id="rId21" Type="http://schemas.openxmlformats.org/officeDocument/2006/relationships/hyperlink" Target="#&apos;TESTIMONIAL_SOURCES&apos;!A9" TargetMode="External"/><Relationship Id="rId22" Type="http://schemas.openxmlformats.org/officeDocument/2006/relationships/hyperlink" Target="#&apos;ASSETS&apos;!A36" TargetMode="External"/><Relationship Id="rId23" Type="http://schemas.openxmlformats.org/officeDocument/2006/relationships/hyperlink" Target="#&apos;TESTIMONIAL_SOURCES&apos;!A9" TargetMode="External"/><Relationship Id="rId24" Type="http://schemas.openxmlformats.org/officeDocument/2006/relationships/hyperlink" Target="#&apos;ASSETS&apos;!A32" TargetMode="External"/><Relationship Id="rId25" Type="http://schemas.openxmlformats.org/officeDocument/2006/relationships/hyperlink" Target="#&apos;TESTIMONIAL_SOURCES&apos;!A9" TargetMode="External"/><Relationship Id="rId26" Type="http://schemas.openxmlformats.org/officeDocument/2006/relationships/hyperlink" Target="#&apos;ASSETS&apos;!A37" TargetMode="External"/><Relationship Id="rId27" Type="http://schemas.openxmlformats.org/officeDocument/2006/relationships/hyperlink" Target="#&apos;TESTIMONIAL_SOURCES&apos;!A9" TargetMode="External"/><Relationship Id="rId28" Type="http://schemas.openxmlformats.org/officeDocument/2006/relationships/hyperlink" Target="#&apos;ASSETS&apos;!A25" TargetMode="External"/><Relationship Id="rId29" Type="http://schemas.openxmlformats.org/officeDocument/2006/relationships/hyperlink" Target="#&apos;TESTIMONIAL_SOURCES&apos;!A9" TargetMode="External"/><Relationship Id="rId30" Type="http://schemas.openxmlformats.org/officeDocument/2006/relationships/hyperlink" Target="#&apos;ASSETS&apos;!A38" TargetMode="External"/><Relationship Id="rId31" Type="http://schemas.openxmlformats.org/officeDocument/2006/relationships/hyperlink" Target="#&apos;TESTIMONIAL_SOURCES&apos;!A9" TargetMode="External"/><Relationship Id="rId32" Type="http://schemas.openxmlformats.org/officeDocument/2006/relationships/hyperlink" Target="#&apos;ASSETS&apos;!A28" TargetMode="External"/><Relationship Id="rId33" Type="http://schemas.openxmlformats.org/officeDocument/2006/relationships/hyperlink" Target="#&apos;TESTIMONIAL_SOURCES&apos;!A9" TargetMode="External"/><Relationship Id="rId34" Type="http://schemas.openxmlformats.org/officeDocument/2006/relationships/hyperlink" Target="#&apos;ASSETS&apos;!A31" TargetMode="External"/><Relationship Id="rId35" Type="http://schemas.openxmlformats.org/officeDocument/2006/relationships/hyperlink" Target="#&apos;TESTIMONIAL_SOURCES&apos;!A9" TargetMode="External"/><Relationship Id="rId36" Type="http://schemas.openxmlformats.org/officeDocument/2006/relationships/hyperlink" Target="#&apos;ASSETS&apos;!A30" TargetMode="External"/><Relationship Id="rId37" Type="http://schemas.openxmlformats.org/officeDocument/2006/relationships/hyperlink" Target="#&apos;TESTIMONIAL_SOURCES&apos;!A9" TargetMode="External"/><Relationship Id="rId38" Type="http://schemas.openxmlformats.org/officeDocument/2006/relationships/hyperlink" Target="#&apos;ASSETS&apos;!A35" TargetMode="External"/><Relationship Id="rId39" Type="http://schemas.openxmlformats.org/officeDocument/2006/relationships/hyperlink" Target="#&apos;TESTIMONIAL_SOURCES&apos;!A9" TargetMode="External"/><Relationship Id="rId40" Type="http://schemas.openxmlformats.org/officeDocument/2006/relationships/hyperlink" Target="#&apos;ASSETS&apos;!A2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TESTIMONIALS&apos;!A1" TargetMode="External"/><Relationship Id="rId4" Type="http://schemas.openxmlformats.org/officeDocument/2006/relationships/hyperlink" Target="#&apos;ASSETS&apos;!A1" TargetMode="External"/><Relationship Id="rId5" Type="http://schemas.openxmlformats.org/officeDocument/2006/relationships/hyperlink" Target="#&apos;CONTACT_SOCIAL&apos;!A8" TargetMode="External"/><Relationship Id="rId6" Type="http://schemas.openxmlformats.org/officeDocument/2006/relationships/hyperlink" Target="#&apos;CONTACT_METADATA&apos;!A8" TargetMode="External"/><Relationship Id="rId7" Type="http://schemas.openxmlformats.org/officeDocument/2006/relationships/hyperlink" Target="#&apos;FOOTER&apos;!A8"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CONTACT&apos;!A1" TargetMode="External"/><Relationship Id="rId4" Type="http://schemas.openxmlformats.org/officeDocument/2006/relationships/hyperlink" Target="#&apos;ASSET_PREVIEW&apos;!A1" TargetMode="External"/><Relationship Id="rId5" Type="http://schemas.openxmlformats.org/officeDocument/2006/relationships/hyperlink" Target="#&apos;ASSET_PREVIEW&apos;!A8" TargetMode="External"/><Relationship Id="rId6" Type="http://schemas.openxmlformats.org/officeDocument/2006/relationships/hyperlink" Target="#&apos;PROJECTS&apos;!A8" TargetMode="External"/><Relationship Id="rId7" Type="http://schemas.openxmlformats.org/officeDocument/2006/relationships/hyperlink" Target="#&apos;TESTIMONIALS&apos;!A8" TargetMode="External"/><Relationship Id="rId8" Type="http://schemas.openxmlformats.org/officeDocument/2006/relationships/hyperlink" Target="#&apos;PROFILE&apos;!A9" TargetMode="External"/><Relationship Id="rId9" Type="http://schemas.openxmlformats.org/officeDocument/2006/relationships/hyperlink" Target="#&apos;PROJECTS&apos;!A9" TargetMode="External"/><Relationship Id="rId10" Type="http://schemas.openxmlformats.org/officeDocument/2006/relationships/hyperlink" Target="#&apos;PROJECTS&apos;!A9" TargetMode="External"/><Relationship Id="rId11" Type="http://schemas.openxmlformats.org/officeDocument/2006/relationships/hyperlink" Target="#&apos;PROJECTS&apos;!A9" TargetMode="External"/><Relationship Id="rId12" Type="http://schemas.openxmlformats.org/officeDocument/2006/relationships/hyperlink" Target="#&apos;PROJECTS&apos;!A10" TargetMode="External"/><Relationship Id="rId13" Type="http://schemas.openxmlformats.org/officeDocument/2006/relationships/hyperlink" Target="#&apos;PROJECTS&apos;!A10" TargetMode="External"/><Relationship Id="rId14" Type="http://schemas.openxmlformats.org/officeDocument/2006/relationships/hyperlink" Target="#&apos;PROJECTS&apos;!A10" TargetMode="External"/><Relationship Id="rId15" Type="http://schemas.openxmlformats.org/officeDocument/2006/relationships/hyperlink" Target="#&apos;PROJECTS&apos;!A11" TargetMode="External"/><Relationship Id="rId16" Type="http://schemas.openxmlformats.org/officeDocument/2006/relationships/hyperlink" Target="#&apos;PROJECTS&apos;!A11" TargetMode="External"/><Relationship Id="rId17" Type="http://schemas.openxmlformats.org/officeDocument/2006/relationships/hyperlink" Target="#&apos;PROJECTS&apos;!A11" TargetMode="External"/><Relationship Id="rId18" Type="http://schemas.openxmlformats.org/officeDocument/2006/relationships/hyperlink" Target="#&apos;PROJECTS&apos;!A12" TargetMode="External"/><Relationship Id="rId19" Type="http://schemas.openxmlformats.org/officeDocument/2006/relationships/hyperlink" Target="#&apos;PROJECTS&apos;!A12" TargetMode="External"/><Relationship Id="rId20" Type="http://schemas.openxmlformats.org/officeDocument/2006/relationships/hyperlink" Target="#&apos;PROJECTS&apos;!A12" TargetMode="External"/><Relationship Id="rId21" Type="http://schemas.openxmlformats.org/officeDocument/2006/relationships/hyperlink" Target="#&apos;PROJECTS&apos;!A13" TargetMode="External"/><Relationship Id="rId22" Type="http://schemas.openxmlformats.org/officeDocument/2006/relationships/hyperlink" Target="#&apos;PROJECTS&apos;!A13" TargetMode="External"/><Relationship Id="rId23" Type="http://schemas.openxmlformats.org/officeDocument/2006/relationships/hyperlink" Target="#&apos;PROJECTS&apos;!A13" TargetMode="External"/><Relationship Id="rId24" Type="http://schemas.openxmlformats.org/officeDocument/2006/relationships/hyperlink" Target="#&apos;TESTIMONIALS&apos;!A19" TargetMode="External"/><Relationship Id="rId25" Type="http://schemas.openxmlformats.org/officeDocument/2006/relationships/hyperlink" Target="#&apos;TESTIMONIALS&apos;!A12" TargetMode="External"/><Relationship Id="rId26" Type="http://schemas.openxmlformats.org/officeDocument/2006/relationships/hyperlink" Target="#&apos;TESTIMONIALS&apos;!A25" TargetMode="External"/><Relationship Id="rId27" Type="http://schemas.openxmlformats.org/officeDocument/2006/relationships/hyperlink" Target="#&apos;TESTIMONIALS&apos;!A21" TargetMode="External"/><Relationship Id="rId28" Type="http://schemas.openxmlformats.org/officeDocument/2006/relationships/hyperlink" Target="#&apos;TESTIMONIALS&apos;!A15" TargetMode="External"/><Relationship Id="rId29" Type="http://schemas.openxmlformats.org/officeDocument/2006/relationships/hyperlink" Target="#&apos;TESTIMONIALS&apos;!A23" TargetMode="External"/><Relationship Id="rId30" Type="http://schemas.openxmlformats.org/officeDocument/2006/relationships/hyperlink" Target="#&apos;TESTIMONIALS&apos;!A22" TargetMode="External"/><Relationship Id="rId31" Type="http://schemas.openxmlformats.org/officeDocument/2006/relationships/hyperlink" Target="#&apos;TESTIMONIALS&apos;!A9" TargetMode="External"/><Relationship Id="rId32" Type="http://schemas.openxmlformats.org/officeDocument/2006/relationships/hyperlink" Target="#&apos;TESTIMONIALS&apos;!A24" TargetMode="External"/><Relationship Id="rId33" Type="http://schemas.openxmlformats.org/officeDocument/2006/relationships/hyperlink" Target="#&apos;TESTIMONIALS&apos;!A16" TargetMode="External"/><Relationship Id="rId34" Type="http://schemas.openxmlformats.org/officeDocument/2006/relationships/hyperlink" Target="#&apos;TESTIMONIALS&apos;!A18" TargetMode="External"/><Relationship Id="rId35" Type="http://schemas.openxmlformats.org/officeDocument/2006/relationships/hyperlink" Target="#&apos;TESTIMONIALS&apos;!A20" TargetMode="External"/><Relationship Id="rId36" Type="http://schemas.openxmlformats.org/officeDocument/2006/relationships/hyperlink" Target="#&apos;TESTIMONIALS&apos;!A13" TargetMode="External"/><Relationship Id="rId37" Type="http://schemas.openxmlformats.org/officeDocument/2006/relationships/hyperlink" Target="#&apos;TESTIMONIALS&apos;!A10" TargetMode="External"/><Relationship Id="rId38" Type="http://schemas.openxmlformats.org/officeDocument/2006/relationships/hyperlink" Target="#&apos;TESTIMONIALS&apos;!A11" TargetMode="External"/><Relationship Id="rId39" Type="http://schemas.openxmlformats.org/officeDocument/2006/relationships/hyperlink" Target="#&apos;TESTIMONIALS&apos;!A14" TargetMode="External"/><Relationship Id="rId40" Type="http://schemas.openxmlformats.org/officeDocument/2006/relationships/hyperlink" Target="#&apos;PROJECTS&apos;!A14" TargetMode="External"/><Relationship Id="rId41" Type="http://schemas.openxmlformats.org/officeDocument/2006/relationships/hyperlink" Target="#&apos;PROJECTS&apos;!A14" TargetMode="External"/><Relationship Id="rId42" Type="http://schemas.openxmlformats.org/officeDocument/2006/relationships/hyperlink" Target="#&apos;PROJECTS&apos;!A14" TargetMode="External"/><Relationship Id="rId43" Type="http://schemas.openxmlformats.org/officeDocument/2006/relationships/hyperlink" Target="#&apos;PROJECTS&apos;!A15" TargetMode="External"/><Relationship Id="rId44" Type="http://schemas.openxmlformats.org/officeDocument/2006/relationships/hyperlink" Target="#&apos;PROJECTS&apos;!A15" TargetMode="External"/><Relationship Id="rId45" Type="http://schemas.openxmlformats.org/officeDocument/2006/relationships/hyperlink" Target="#&apos;PROJECTS&apos;!A15" TargetMode="External"/><Relationship Id="rId46" Type="http://schemas.openxmlformats.org/officeDocument/2006/relationships/hyperlink" Target="#&apos;PROJECTS&apos;!A15" TargetMode="External"/><Relationship Id="rId47" Type="http://schemas.openxmlformats.org/officeDocument/2006/relationships/hyperlink" Target="#&apos;PROJECTS&apos;!A15" TargetMode="External"/><Relationship Id="rId48" Type="http://schemas.openxmlformats.org/officeDocument/2006/relationships/hyperlink" Target="#&apos;PROJECTS&apos;!A15" TargetMode="External"/><Relationship Id="rId49" Type="http://schemas.openxmlformats.org/officeDocument/2006/relationships/hyperlink" Target="#&apos;PROJECTS&apos;!A15" TargetMode="External"/><Relationship Id="rId50" Type="http://schemas.openxmlformats.org/officeDocument/2006/relationships/hyperlink" Target="#&apos;PROJECTS&apos;!A15" TargetMode="External"/><Relationship Id="rId51" Type="http://schemas.openxmlformats.org/officeDocument/2006/relationships/hyperlink" Target="#&apos;PROJECTS&apos;!A15" TargetMode="External"/><Relationship Id="rId52" Type="http://schemas.openxmlformats.org/officeDocument/2006/relationships/hyperlink" Target="#&apos;PROJECTS&apos;!A15" TargetMode="External"/><Relationship Id="rId53" Type="http://schemas.openxmlformats.org/officeDocument/2006/relationships/hyperlink" Target="#&apos;PROJECTS&apos;!A15"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ASSETS&apos;!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NAVIGATION&apos;!A8" TargetMode="External"/><Relationship Id="rId4" Type="http://schemas.openxmlformats.org/officeDocument/2006/relationships/hyperlink" Target="#&apos;HERO&apos;!A8"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NAVIGATION_CONFIG&apos;!A8" TargetMode="External"/><Relationship Id="rId4" Type="http://schemas.openxmlformats.org/officeDocument/2006/relationships/hyperlink" Target="#&apos;HERO&apos;!A8"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PROFILE&apos;!A8" TargetMode="External"/><Relationship Id="rId4" Type="http://schemas.openxmlformats.org/officeDocument/2006/relationships/hyperlink" Target="#&apos;ABOUT_STATS&apos;!A8"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PROFILE&apos;!A8" TargetMode="External"/><Relationship Id="rId4" Type="http://schemas.openxmlformats.org/officeDocument/2006/relationships/hyperlink" Target="#&apos;ABOUT_BIO&apos;!A8"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HERO&apos;!A8"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TERMINAL_LINES&apos;!A8" TargetMode="External"/><Relationship Id="rId4" Type="http://schemas.openxmlformats.org/officeDocument/2006/relationships/hyperlink" Target="#&apos;TERMINAL_CAPABILITIES&apos;!A8"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TERMINAL&apos;!A8" TargetMode="External"/><Relationship Id="rId4" Type="http://schemas.openxmlformats.org/officeDocument/2006/relationships/hyperlink" Target="#&apos;TERMINAL_CAPABILITIES&apos;!A8"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TERMINAL&apos;!A8" TargetMode="External"/><Relationship Id="rId4" Type="http://schemas.openxmlformats.org/officeDocument/2006/relationships/hyperlink" Target="#&apos;TERMINAL_LINES&apos;!A8"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NAVIGATION&apos;!A8"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SKILL_ITEMS&apos;!A8"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SKILL_CATEGORIES&apos;!A8"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PROJECTS&apos;!A8" TargetMode="External"/><Relationship Id="rId4" Type="http://schemas.openxmlformats.org/officeDocument/2006/relationships/hyperlink" Target="#&apos;PROJECT_ARCH&apos;!A8" TargetMode="External"/><Relationship Id="rId5" Type="http://schemas.openxmlformats.org/officeDocument/2006/relationships/hyperlink" Target="#&apos;PROJECTS&apos;!A9" TargetMode="External"/><Relationship Id="rId6" Type="http://schemas.openxmlformats.org/officeDocument/2006/relationships/hyperlink" Target="#&apos;PROJECTS&apos;!A9" TargetMode="External"/><Relationship Id="rId7" Type="http://schemas.openxmlformats.org/officeDocument/2006/relationships/hyperlink" Target="#&apos;PROJECTS&apos;!A9" TargetMode="External"/><Relationship Id="rId8" Type="http://schemas.openxmlformats.org/officeDocument/2006/relationships/hyperlink" Target="#&apos;PROJECTS&apos;!A9" TargetMode="External"/><Relationship Id="rId9" Type="http://schemas.openxmlformats.org/officeDocument/2006/relationships/hyperlink" Target="#&apos;PROJECTS&apos;!A10" TargetMode="External"/><Relationship Id="rId10" Type="http://schemas.openxmlformats.org/officeDocument/2006/relationships/hyperlink" Target="#&apos;PROJECTS&apos;!A10" TargetMode="External"/><Relationship Id="rId11" Type="http://schemas.openxmlformats.org/officeDocument/2006/relationships/hyperlink" Target="#&apos;PROJECTS&apos;!A10" TargetMode="External"/><Relationship Id="rId12" Type="http://schemas.openxmlformats.org/officeDocument/2006/relationships/hyperlink" Target="#&apos;PROJECTS&apos;!A10" TargetMode="External"/><Relationship Id="rId13" Type="http://schemas.openxmlformats.org/officeDocument/2006/relationships/hyperlink" Target="#&apos;PROJECTS&apos;!A11" TargetMode="External"/><Relationship Id="rId14" Type="http://schemas.openxmlformats.org/officeDocument/2006/relationships/hyperlink" Target="#&apos;PROJECTS&apos;!A11" TargetMode="External"/><Relationship Id="rId15" Type="http://schemas.openxmlformats.org/officeDocument/2006/relationships/hyperlink" Target="#&apos;PROJECTS&apos;!A11" TargetMode="External"/><Relationship Id="rId16" Type="http://schemas.openxmlformats.org/officeDocument/2006/relationships/hyperlink" Target="#&apos;PROJECTS&apos;!A11" TargetMode="External"/><Relationship Id="rId17" Type="http://schemas.openxmlformats.org/officeDocument/2006/relationships/hyperlink" Target="#&apos;PROJECTS&apos;!A12" TargetMode="External"/><Relationship Id="rId18" Type="http://schemas.openxmlformats.org/officeDocument/2006/relationships/hyperlink" Target="#&apos;PROJECTS&apos;!A12" TargetMode="External"/><Relationship Id="rId19" Type="http://schemas.openxmlformats.org/officeDocument/2006/relationships/hyperlink" Target="#&apos;PROJECTS&apos;!A12" TargetMode="External"/><Relationship Id="rId20" Type="http://schemas.openxmlformats.org/officeDocument/2006/relationships/hyperlink" Target="#&apos;PROJECTS&apos;!A12" TargetMode="External"/><Relationship Id="rId21" Type="http://schemas.openxmlformats.org/officeDocument/2006/relationships/hyperlink" Target="#&apos;PROJECTS&apos;!A13" TargetMode="External"/><Relationship Id="rId22" Type="http://schemas.openxmlformats.org/officeDocument/2006/relationships/hyperlink" Target="#&apos;PROJECTS&apos;!A13" TargetMode="External"/><Relationship Id="rId23" Type="http://schemas.openxmlformats.org/officeDocument/2006/relationships/hyperlink" Target="#&apos;PROJECTS&apos;!A13" TargetMode="External"/><Relationship Id="rId24" Type="http://schemas.openxmlformats.org/officeDocument/2006/relationships/hyperlink" Target="#&apos;PROJECTS&apos;!A13" TargetMode="External"/><Relationship Id="rId25" Type="http://schemas.openxmlformats.org/officeDocument/2006/relationships/hyperlink" Target="#&apos;PROJECTS&apos;!A14" TargetMode="External"/><Relationship Id="rId26" Type="http://schemas.openxmlformats.org/officeDocument/2006/relationships/hyperlink" Target="#&apos;PROJECTS&apos;!A14" TargetMode="External"/><Relationship Id="rId27" Type="http://schemas.openxmlformats.org/officeDocument/2006/relationships/hyperlink" Target="#&apos;PROJECTS&apos;!A14" TargetMode="External"/><Relationship Id="rId28" Type="http://schemas.openxmlformats.org/officeDocument/2006/relationships/hyperlink" Target="#&apos;PROJECTS&apos;!A14" TargetMode="External"/><Relationship Id="rId29" Type="http://schemas.openxmlformats.org/officeDocument/2006/relationships/hyperlink" Target="#&apos;PROJECTS&apos;!A15" TargetMode="External"/><Relationship Id="rId30" Type="http://schemas.openxmlformats.org/officeDocument/2006/relationships/hyperlink" Target="#&apos;PROJECTS&apos;!A15" TargetMode="External"/><Relationship Id="rId31" Type="http://schemas.openxmlformats.org/officeDocument/2006/relationships/hyperlink" Target="#&apos;PROJECTS&apos;!A15" TargetMode="External"/><Relationship Id="rId32" Type="http://schemas.openxmlformats.org/officeDocument/2006/relationships/hyperlink" Target="#&apos;PROJECTS&apos;!A15" TargetMode="External"/><Relationship Id="rId33" Type="http://schemas.openxmlformats.org/officeDocument/2006/relationships/hyperlink" Target="#&apos;PROJECTS&apos;!A15" TargetMode="External"/><Relationship Id="rId34" Type="http://schemas.openxmlformats.org/officeDocument/2006/relationships/hyperlink" Target="#&apos;PROJECTS&apos;!A15"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PROJECTS&apos;!A8" TargetMode="External"/><Relationship Id="rId4" Type="http://schemas.openxmlformats.org/officeDocument/2006/relationships/hyperlink" Target="#&apos;PROJECT_STACK&apos;!A8" TargetMode="External"/><Relationship Id="rId5" Type="http://schemas.openxmlformats.org/officeDocument/2006/relationships/hyperlink" Target="#&apos;PROJECTS&apos;!A9" TargetMode="External"/><Relationship Id="rId6" Type="http://schemas.openxmlformats.org/officeDocument/2006/relationships/hyperlink" Target="#&apos;PROJECTS&apos;!A9" TargetMode="External"/><Relationship Id="rId7" Type="http://schemas.openxmlformats.org/officeDocument/2006/relationships/hyperlink" Target="#&apos;PROJECTS&apos;!A9" TargetMode="External"/><Relationship Id="rId8" Type="http://schemas.openxmlformats.org/officeDocument/2006/relationships/hyperlink" Target="#&apos;PROJECTS&apos;!A9" TargetMode="External"/><Relationship Id="rId9" Type="http://schemas.openxmlformats.org/officeDocument/2006/relationships/hyperlink" Target="#&apos;PROJECTS&apos;!A10" TargetMode="External"/><Relationship Id="rId10" Type="http://schemas.openxmlformats.org/officeDocument/2006/relationships/hyperlink" Target="#&apos;PROJECTS&apos;!A10" TargetMode="External"/><Relationship Id="rId11" Type="http://schemas.openxmlformats.org/officeDocument/2006/relationships/hyperlink" Target="#&apos;PROJECTS&apos;!A10" TargetMode="External"/><Relationship Id="rId12" Type="http://schemas.openxmlformats.org/officeDocument/2006/relationships/hyperlink" Target="#&apos;PROJECTS&apos;!A10" TargetMode="External"/><Relationship Id="rId13" Type="http://schemas.openxmlformats.org/officeDocument/2006/relationships/hyperlink" Target="#&apos;PROJECTS&apos;!A11" TargetMode="External"/><Relationship Id="rId14" Type="http://schemas.openxmlformats.org/officeDocument/2006/relationships/hyperlink" Target="#&apos;PROJECTS&apos;!A11" TargetMode="External"/><Relationship Id="rId15" Type="http://schemas.openxmlformats.org/officeDocument/2006/relationships/hyperlink" Target="#&apos;PROJECTS&apos;!A11" TargetMode="External"/><Relationship Id="rId16" Type="http://schemas.openxmlformats.org/officeDocument/2006/relationships/hyperlink" Target="#&apos;PROJECTS&apos;!A11" TargetMode="External"/><Relationship Id="rId17" Type="http://schemas.openxmlformats.org/officeDocument/2006/relationships/hyperlink" Target="#&apos;PROJECTS&apos;!A12" TargetMode="External"/><Relationship Id="rId18" Type="http://schemas.openxmlformats.org/officeDocument/2006/relationships/hyperlink" Target="#&apos;PROJECTS&apos;!A12" TargetMode="External"/><Relationship Id="rId19" Type="http://schemas.openxmlformats.org/officeDocument/2006/relationships/hyperlink" Target="#&apos;PROJECTS&apos;!A12" TargetMode="External"/><Relationship Id="rId20" Type="http://schemas.openxmlformats.org/officeDocument/2006/relationships/hyperlink" Target="#&apos;PROJECTS&apos;!A12" TargetMode="External"/><Relationship Id="rId21" Type="http://schemas.openxmlformats.org/officeDocument/2006/relationships/hyperlink" Target="#&apos;PROJECTS&apos;!A13" TargetMode="External"/><Relationship Id="rId22" Type="http://schemas.openxmlformats.org/officeDocument/2006/relationships/hyperlink" Target="#&apos;PROJECTS&apos;!A13" TargetMode="External"/><Relationship Id="rId23" Type="http://schemas.openxmlformats.org/officeDocument/2006/relationships/hyperlink" Target="#&apos;PROJECTS&apos;!A13" TargetMode="External"/><Relationship Id="rId24" Type="http://schemas.openxmlformats.org/officeDocument/2006/relationships/hyperlink" Target="#&apos;PROJECTS&apos;!A13" TargetMode="External"/><Relationship Id="rId25" Type="http://schemas.openxmlformats.org/officeDocument/2006/relationships/hyperlink" Target="#&apos;PROJECTS&apos;!A14" TargetMode="External"/><Relationship Id="rId26" Type="http://schemas.openxmlformats.org/officeDocument/2006/relationships/hyperlink" Target="#&apos;PROJECTS&apos;!A14" TargetMode="External"/><Relationship Id="rId27" Type="http://schemas.openxmlformats.org/officeDocument/2006/relationships/hyperlink" Target="#&apos;PROJECTS&apos;!A14" TargetMode="External"/><Relationship Id="rId28" Type="http://schemas.openxmlformats.org/officeDocument/2006/relationships/hyperlink" Target="#&apos;PROJECTS&apos;!A14" TargetMode="External"/><Relationship Id="rId29" Type="http://schemas.openxmlformats.org/officeDocument/2006/relationships/hyperlink" Target="#&apos;PROJECTS&apos;!A15" TargetMode="External"/><Relationship Id="rId30" Type="http://schemas.openxmlformats.org/officeDocument/2006/relationships/hyperlink" Target="#&apos;PROJECTS&apos;!A15" TargetMode="External"/><Relationship Id="rId31" Type="http://schemas.openxmlformats.org/officeDocument/2006/relationships/hyperlink" Target="#&apos;PROJECTS&apos;!A15" TargetMode="External"/><Relationship Id="rId32" Type="http://schemas.openxmlformats.org/officeDocument/2006/relationships/hyperlink" Target="#&apos;PROJECTS&apos;!A15" TargetMode="External"/><Relationship Id="rId33" Type="http://schemas.openxmlformats.org/officeDocument/2006/relationships/hyperlink" Target="#&apos;PROJECTS&apos;!A15" TargetMode="External"/><Relationship Id="rId34" Type="http://schemas.openxmlformats.org/officeDocument/2006/relationships/hyperlink" Target="#&apos;PROJECTS&apos;!A15" TargetMode="External"/><Relationship Id="rId35" Type="http://schemas.openxmlformats.org/officeDocument/2006/relationships/hyperlink" Target="#&apos;PROJECTS&apos;!A15" TargetMode="External"/><Relationship Id="rId36" Type="http://schemas.openxmlformats.org/officeDocument/2006/relationships/hyperlink" Target="#&apos;PROJECTS&apos;!A15" TargetMode="External"/><Relationship Id="rId37" Type="http://schemas.openxmlformats.org/officeDocument/2006/relationships/hyperlink" Target="#&apos;PROJECTS&apos;!A15" TargetMode="External"/><Relationship Id="rId38" Type="http://schemas.openxmlformats.org/officeDocument/2006/relationships/hyperlink" Target="#&apos;PROJECTS&apos;!A15" TargetMode="External"/><Relationship Id="rId39" Type="http://schemas.openxmlformats.org/officeDocument/2006/relationships/hyperlink" Target="#&apos;PROJECTS&apos;!A15" TargetMode="External"/><Relationship Id="rId40" Type="http://schemas.openxmlformats.org/officeDocument/2006/relationships/hyperlink" Target="#&apos;PROJECTS&apos;!A15" TargetMode="External"/><Relationship Id="rId41" Type="http://schemas.openxmlformats.org/officeDocument/2006/relationships/hyperlink" Target="#&apos;PROJECTS&apos;!A15"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TESTIMONIALS&apos;!A8"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CONTACT&apos;!A8" TargetMode="External"/><Relationship Id="rId4" Type="http://schemas.openxmlformats.org/officeDocument/2006/relationships/hyperlink" Target="#&apos;CONTACT_METADATA&apos;!A8"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CONTACT&apos;!A8" TargetMode="External"/><Relationship Id="rId4" Type="http://schemas.openxmlformats.org/officeDocument/2006/relationships/hyperlink" Target="#&apos;CONTACT_SOCIAL&apos;!A8" TargetMode="External"/><Relationship Id="rId5" Type="http://schemas.openxmlformats.org/officeDocument/2006/relationships/hyperlink" Target="#&apos;FOOTER&apos;!A8"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HOME&apos;!A1" TargetMode="External"/><Relationship Id="rId2" Type="http://schemas.openxmlformats.org/officeDocument/2006/relationships/hyperlink" Target="#&apos;README&apos;!A1" TargetMode="External"/><Relationship Id="rId3" Type="http://schemas.openxmlformats.org/officeDocument/2006/relationships/hyperlink" Target="#&apos;CONTACT&apos;!A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F195"/>
  </sheetPr>
  <dimension ref="A1:O31"/>
  <sheetViews>
    <sheetView workbookViewId="0" showRowColHeaders="0" showGridLines="0">
      <pane ySplit="4" topLeftCell="A5" activePane="bottomLeft" state="frozen"/>
      <selection pane="bottomLeft"/>
    </sheetView>
  </sheetViews>
  <sheetFormatPr defaultRowHeight="15" outlineLevelRow="0" outlineLevelCol="0" x14ac:dyDescent="55"/>
  <cols>
    <col min="1" max="14" width="14" customWidth="1"/>
    <col min="15" max="15" width="15" customWidth="1"/>
  </cols>
  <sheetData>
    <row r="1" ht="32" customHeight="1" spans="1:15" x14ac:dyDescent="0.25">
      <c r="A1" s="1" t="s">
        <v>0</v>
      </c>
      <c r="B1" s="1"/>
      <c r="C1" s="1"/>
      <c r="D1" s="1"/>
      <c r="E1" s="1"/>
      <c r="F1" s="1"/>
      <c r="G1" s="1"/>
      <c r="H1" s="1"/>
      <c r="I1" s="1"/>
      <c r="J1" s="1"/>
      <c r="K1" s="1"/>
      <c r="L1" s="1"/>
      <c r="M1" s="1"/>
      <c r="N1" s="1"/>
      <c r="O1" s="1"/>
    </row>
    <row r="2" ht="22" customHeight="1" spans="1:15" x14ac:dyDescent="0.25">
      <c r="A2" s="2" t="s">
        <v>1</v>
      </c>
      <c r="B2" s="2"/>
      <c r="C2" s="2"/>
      <c r="D2" s="2"/>
      <c r="E2" s="2"/>
      <c r="F2" s="2"/>
      <c r="G2" s="2"/>
      <c r="H2" s="2"/>
      <c r="I2" s="2"/>
      <c r="J2" s="2"/>
      <c r="K2" s="2"/>
      <c r="L2" s="2"/>
      <c r="M2" s="2"/>
      <c r="N2" s="2"/>
      <c r="O2" s="2"/>
    </row>
    <row r="3" ht="20" customHeight="1" spans="1:15" x14ac:dyDescent="0.25">
      <c r="A3" s="3" t="s">
        <v>2</v>
      </c>
      <c r="B3" s="3"/>
      <c r="C3" s="3"/>
      <c r="D3" s="3"/>
      <c r="E3" s="3"/>
      <c r="F3" s="3"/>
      <c r="G3" s="3"/>
      <c r="H3" s="3"/>
      <c r="I3" s="3"/>
      <c r="J3" s="3"/>
      <c r="K3" s="3"/>
      <c r="L3" s="3"/>
      <c r="M3" s="3"/>
      <c r="N3" s="3"/>
      <c r="O3" s="3"/>
    </row>
    <row r="4" ht="20" customHeight="1" spans="1:15" x14ac:dyDescent="0.25">
      <c r="A4" s="4" t="s">
        <v>3</v>
      </c>
      <c r="B4" s="4"/>
      <c r="C4" s="4"/>
      <c r="D4" s="4"/>
      <c r="E4" s="4"/>
      <c r="F4" s="4"/>
      <c r="G4" s="4"/>
      <c r="H4" s="4"/>
      <c r="I4" s="4"/>
      <c r="J4" s="4"/>
      <c r="K4" s="4"/>
      <c r="L4" s="4"/>
      <c r="M4" s="4"/>
      <c r="N4" s="4"/>
      <c r="O4" s="4"/>
    </row>
    <row r="5" ht="24" customHeight="1" spans="1:15" x14ac:dyDescent="0.25">
      <c r="A5" s="5" t="s">
        <v>4</v>
      </c>
      <c r="B5" s="5"/>
      <c r="C5" s="5"/>
      <c r="D5" s="5"/>
      <c r="E5" s="5"/>
      <c r="F5" s="6" t="s">
        <v>5</v>
      </c>
      <c r="G5" s="6"/>
      <c r="H5" s="6"/>
      <c r="I5" s="6"/>
      <c r="J5" s="6"/>
      <c r="K5" s="7" t="s">
        <v>6</v>
      </c>
      <c r="L5" s="7"/>
      <c r="M5" s="7"/>
      <c r="N5" s="7"/>
      <c r="O5" s="7"/>
    </row>
    <row r="6" ht="21" customHeight="1" spans="1:15" x14ac:dyDescent="0.25">
      <c r="A6" s="8" t="s">
        <v>7</v>
      </c>
      <c r="B6" s="8"/>
      <c r="C6" s="8"/>
      <c r="D6" s="8"/>
      <c r="E6" s="8"/>
      <c r="F6" s="9" t="s">
        <v>8</v>
      </c>
      <c r="G6" s="9"/>
      <c r="H6" s="9"/>
      <c r="I6" s="9"/>
      <c r="J6" s="9"/>
      <c r="K6" s="10" t="s">
        <v>9</v>
      </c>
      <c r="L6" s="10"/>
      <c r="M6" s="10"/>
      <c r="N6" s="10"/>
      <c r="O6" s="10"/>
    </row>
    <row r="7" ht="21" customHeight="1" spans="1:15" x14ac:dyDescent="0.25">
      <c r="A7" s="8"/>
      <c r="B7" s="8"/>
      <c r="C7" s="8"/>
      <c r="D7" s="8"/>
      <c r="E7" s="8"/>
      <c r="F7" s="9"/>
      <c r="G7" s="9"/>
      <c r="H7" s="9"/>
      <c r="I7" s="9"/>
      <c r="J7" s="9"/>
      <c r="K7" s="10"/>
      <c r="L7" s="10"/>
      <c r="M7" s="10"/>
      <c r="N7" s="10"/>
      <c r="O7" s="10"/>
    </row>
    <row r="8" ht="21" customHeight="1" spans="1:15" x14ac:dyDescent="0.25">
      <c r="A8" s="11" t="s">
        <v>10</v>
      </c>
      <c r="B8" s="11"/>
      <c r="C8" s="11"/>
      <c r="D8" s="12" t="s">
        <v>11</v>
      </c>
      <c r="E8" s="12"/>
      <c r="F8" s="13" t="s">
        <v>12</v>
      </c>
      <c r="G8" s="13"/>
      <c r="H8" s="13"/>
      <c r="I8" s="14" t="s">
        <v>11</v>
      </c>
      <c r="J8" s="14"/>
      <c r="K8" s="15" t="s">
        <v>13</v>
      </c>
      <c r="L8" s="15"/>
      <c r="M8" s="15"/>
      <c r="N8" s="16" t="s">
        <v>11</v>
      </c>
      <c r="O8" s="16"/>
    </row>
    <row r="9" ht="21" customHeight="1" spans="1:15" x14ac:dyDescent="0.25">
      <c r="A9" s="11"/>
      <c r="B9" s="11"/>
      <c r="C9" s="11"/>
      <c r="D9" s="12"/>
      <c r="E9" s="12"/>
      <c r="F9" s="13"/>
      <c r="G9" s="13"/>
      <c r="H9" s="13"/>
      <c r="I9" s="14"/>
      <c r="J9" s="14"/>
      <c r="K9" s="15"/>
      <c r="L9" s="15"/>
      <c r="M9" s="15"/>
      <c r="N9" s="16"/>
      <c r="O9" s="16"/>
    </row>
    <row r="10" ht="24" customHeight="1" spans="1:15" x14ac:dyDescent="0.25">
      <c r="A10" s="5" t="s">
        <v>14</v>
      </c>
      <c r="B10" s="5"/>
      <c r="C10" s="5"/>
      <c r="D10" s="5"/>
      <c r="E10" s="5"/>
      <c r="F10" s="17" t="s">
        <v>15</v>
      </c>
      <c r="G10" s="17"/>
      <c r="H10" s="17"/>
      <c r="I10" s="17"/>
      <c r="J10" s="17"/>
      <c r="K10" s="18" t="s">
        <v>16</v>
      </c>
      <c r="L10" s="18"/>
      <c r="M10" s="18"/>
      <c r="N10" s="18"/>
      <c r="O10" s="18"/>
    </row>
    <row r="11" ht="21" customHeight="1" spans="1:15" x14ac:dyDescent="0.25">
      <c r="A11" s="8" t="s">
        <v>17</v>
      </c>
      <c r="B11" s="8"/>
      <c r="C11" s="8"/>
      <c r="D11" s="8"/>
      <c r="E11" s="8"/>
      <c r="F11" s="19" t="s">
        <v>18</v>
      </c>
      <c r="G11" s="19"/>
      <c r="H11" s="19"/>
      <c r="I11" s="19"/>
      <c r="J11" s="19"/>
      <c r="K11" s="20" t="s">
        <v>19</v>
      </c>
      <c r="L11" s="20"/>
      <c r="M11" s="20"/>
      <c r="N11" s="20"/>
      <c r="O11" s="20"/>
    </row>
    <row r="12" ht="21" customHeight="1" spans="1:15" x14ac:dyDescent="0.25">
      <c r="A12" s="8"/>
      <c r="B12" s="8"/>
      <c r="C12" s="8"/>
      <c r="D12" s="8"/>
      <c r="E12" s="8"/>
      <c r="F12" s="19"/>
      <c r="G12" s="19"/>
      <c r="H12" s="19"/>
      <c r="I12" s="19"/>
      <c r="J12" s="19"/>
      <c r="K12" s="20"/>
      <c r="L12" s="20"/>
      <c r="M12" s="20"/>
      <c r="N12" s="20"/>
      <c r="O12" s="20"/>
    </row>
    <row r="13" ht="21" customHeight="1" spans="1:15" x14ac:dyDescent="0.25">
      <c r="A13" s="11" t="s">
        <v>20</v>
      </c>
      <c r="B13" s="11"/>
      <c r="C13" s="11"/>
      <c r="D13" s="12" t="s">
        <v>11</v>
      </c>
      <c r="E13" s="12"/>
      <c r="F13" s="21" t="s">
        <v>21</v>
      </c>
      <c r="G13" s="21"/>
      <c r="H13" s="21"/>
      <c r="I13" s="22" t="s">
        <v>11</v>
      </c>
      <c r="J13" s="22"/>
      <c r="K13" s="23" t="s">
        <v>22</v>
      </c>
      <c r="L13" s="23"/>
      <c r="M13" s="23"/>
      <c r="N13" s="24" t="s">
        <v>11</v>
      </c>
      <c r="O13" s="24"/>
    </row>
    <row r="14" ht="21" customHeight="1" spans="1:15" x14ac:dyDescent="0.25">
      <c r="A14" s="11"/>
      <c r="B14" s="11"/>
      <c r="C14" s="11"/>
      <c r="D14" s="12"/>
      <c r="E14" s="12"/>
      <c r="F14" s="21"/>
      <c r="G14" s="21"/>
      <c r="H14" s="21"/>
      <c r="I14" s="22"/>
      <c r="J14" s="22"/>
      <c r="K14" s="23"/>
      <c r="L14" s="23"/>
      <c r="M14" s="23"/>
      <c r="N14" s="24"/>
      <c r="O14" s="24"/>
    </row>
    <row r="15" spans="1:15" x14ac:dyDescent="0.25">
      <c r="A15" s="25"/>
      <c r="B15" s="25"/>
      <c r="C15" s="25"/>
      <c r="D15" s="25"/>
      <c r="E15" s="25"/>
      <c r="F15" s="25"/>
      <c r="G15" s="25"/>
      <c r="H15" s="25"/>
      <c r="I15" s="25"/>
      <c r="J15" s="25"/>
      <c r="K15" s="25"/>
      <c r="L15" s="25"/>
      <c r="M15" s="25"/>
      <c r="N15" s="25"/>
      <c r="O15" s="25"/>
    </row>
    <row r="16" ht="22" customHeight="1" spans="1:15" x14ac:dyDescent="0.25">
      <c r="A16" s="26" t="s">
        <v>23</v>
      </c>
      <c r="B16" s="26"/>
      <c r="C16" s="26"/>
      <c r="D16" s="26"/>
      <c r="E16" s="26"/>
      <c r="F16" s="26"/>
      <c r="G16" s="26"/>
      <c r="H16" s="26"/>
      <c r="I16" s="27" t="s">
        <v>24</v>
      </c>
      <c r="J16" s="27"/>
      <c r="K16" s="27"/>
      <c r="L16" s="27"/>
      <c r="M16" s="27"/>
      <c r="N16" s="27"/>
      <c r="O16" s="27"/>
    </row>
    <row r="17" ht="22" customHeight="1" spans="1:15" x14ac:dyDescent="0.25">
      <c r="A17" s="28" t="s">
        <v>25</v>
      </c>
      <c r="B17" s="28"/>
      <c r="C17" s="28"/>
      <c r="D17" s="28"/>
      <c r="E17" s="28"/>
      <c r="F17" s="28"/>
      <c r="G17" s="28"/>
      <c r="H17" s="28"/>
      <c r="I17" s="29" t="s">
        <v>26</v>
      </c>
      <c r="J17" s="29"/>
      <c r="K17" s="29"/>
      <c r="L17" s="29"/>
      <c r="M17" s="29"/>
      <c r="N17" s="29"/>
      <c r="O17" s="29"/>
    </row>
    <row r="18" ht="22" customHeight="1" spans="1:15" x14ac:dyDescent="0.25">
      <c r="A18" s="28"/>
      <c r="B18" s="28"/>
      <c r="C18" s="28"/>
      <c r="D18" s="28"/>
      <c r="E18" s="28"/>
      <c r="F18" s="28"/>
      <c r="G18" s="28"/>
      <c r="H18" s="28"/>
      <c r="I18" s="30" t="s">
        <v>27</v>
      </c>
      <c r="J18" s="30"/>
      <c r="K18" s="30"/>
      <c r="L18" s="30"/>
      <c r="M18" s="30"/>
      <c r="N18" s="30"/>
      <c r="O18" s="30"/>
    </row>
    <row r="19" ht="22" customHeight="1" spans="1:15" x14ac:dyDescent="0.25">
      <c r="A19" s="28"/>
      <c r="B19" s="28"/>
      <c r="C19" s="28"/>
      <c r="D19" s="28"/>
      <c r="E19" s="28"/>
      <c r="F19" s="28"/>
      <c r="G19" s="28"/>
      <c r="H19" s="28"/>
      <c r="I19" s="30" t="s">
        <v>28</v>
      </c>
      <c r="J19" s="30"/>
      <c r="K19" s="30"/>
      <c r="L19" s="30"/>
      <c r="M19" s="30"/>
      <c r="N19" s="30"/>
      <c r="O19" s="30"/>
    </row>
    <row r="20" ht="22" customHeight="1" spans="1:15" x14ac:dyDescent="0.25">
      <c r="A20" s="28"/>
      <c r="B20" s="28"/>
      <c r="C20" s="28"/>
      <c r="D20" s="28"/>
      <c r="E20" s="28"/>
      <c r="F20" s="28"/>
      <c r="G20" s="28"/>
      <c r="H20" s="28"/>
      <c r="I20" s="30" t="s">
        <v>29</v>
      </c>
      <c r="J20" s="30"/>
      <c r="K20" s="30"/>
      <c r="L20" s="30"/>
      <c r="M20" s="30"/>
      <c r="N20" s="30"/>
      <c r="O20" s="30"/>
    </row>
    <row r="21" ht="22" customHeight="1" spans="1:15" x14ac:dyDescent="0.25">
      <c r="A21" s="28"/>
      <c r="B21" s="28"/>
      <c r="C21" s="28"/>
      <c r="D21" s="28"/>
      <c r="E21" s="28"/>
      <c r="F21" s="28"/>
      <c r="G21" s="28"/>
      <c r="H21" s="28"/>
      <c r="I21" s="30" t="s">
        <v>30</v>
      </c>
      <c r="J21" s="30"/>
      <c r="K21" s="30"/>
      <c r="L21" s="30"/>
      <c r="M21" s="30"/>
      <c r="N21" s="30"/>
      <c r="O21" s="30"/>
    </row>
    <row r="22" ht="22" customHeight="1" spans="1:15" x14ac:dyDescent="0.25">
      <c r="A22" s="25"/>
      <c r="B22" s="25"/>
      <c r="C22" s="25"/>
      <c r="D22" s="25"/>
      <c r="E22" s="25"/>
      <c r="F22" s="25"/>
      <c r="G22" s="25"/>
      <c r="H22" s="25"/>
      <c r="I22" s="25"/>
      <c r="J22" s="25"/>
      <c r="K22" s="25"/>
      <c r="L22" s="25"/>
      <c r="M22" s="25"/>
      <c r="N22" s="25"/>
      <c r="O22" s="25"/>
    </row>
    <row r="23" ht="22" customHeight="1" spans="1:15" x14ac:dyDescent="0.25">
      <c r="A23" s="31" t="s">
        <v>31</v>
      </c>
      <c r="B23" s="31"/>
      <c r="C23" s="31"/>
      <c r="D23" s="31"/>
      <c r="E23" s="31"/>
      <c r="F23" s="31"/>
      <c r="G23" s="31"/>
      <c r="H23" s="31"/>
      <c r="I23" s="31"/>
      <c r="J23" s="31"/>
      <c r="K23" s="31"/>
      <c r="L23" s="31"/>
      <c r="M23" s="31"/>
      <c r="N23" s="31"/>
      <c r="O23" s="31"/>
    </row>
    <row r="24" ht="22" customHeight="1" spans="1:15" x14ac:dyDescent="0.25">
      <c r="A24" s="32" t="s">
        <v>32</v>
      </c>
      <c r="B24" s="32"/>
      <c r="C24" s="32"/>
      <c r="D24" s="32" t="s">
        <v>33</v>
      </c>
      <c r="E24" s="32"/>
      <c r="F24" s="32"/>
      <c r="G24" s="32" t="s">
        <v>34</v>
      </c>
      <c r="H24" s="32"/>
      <c r="I24" s="32"/>
      <c r="J24" s="32" t="s">
        <v>35</v>
      </c>
      <c r="K24" s="32"/>
      <c r="L24" s="32"/>
      <c r="M24" s="32" t="s">
        <v>36</v>
      </c>
      <c r="N24" s="32"/>
      <c r="O24" s="32"/>
    </row>
    <row r="25" ht="22" customHeight="1" spans="1:15" x14ac:dyDescent="0.25">
      <c r="A25" s="33" t="s">
        <v>37</v>
      </c>
      <c r="B25" s="33"/>
      <c r="C25" s="33"/>
      <c r="D25" s="33" t="s">
        <v>38</v>
      </c>
      <c r="E25" s="33"/>
      <c r="F25" s="33"/>
      <c r="G25" s="33" t="s">
        <v>39</v>
      </c>
      <c r="H25" s="33"/>
      <c r="I25" s="33"/>
      <c r="J25" s="33" t="s">
        <v>40</v>
      </c>
      <c r="K25" s="33"/>
      <c r="L25" s="33"/>
      <c r="M25" s="33" t="s">
        <v>41</v>
      </c>
      <c r="N25" s="33"/>
      <c r="O25" s="33"/>
    </row>
    <row r="26" ht="22" customHeight="1" spans="1:15" x14ac:dyDescent="0.25">
      <c r="A26" s="34" t="s">
        <v>42</v>
      </c>
      <c r="B26" s="34"/>
      <c r="C26" s="34"/>
      <c r="D26" s="34" t="s">
        <v>43</v>
      </c>
      <c r="E26" s="34"/>
      <c r="F26" s="34"/>
      <c r="G26" s="34" t="s">
        <v>44</v>
      </c>
      <c r="H26" s="34"/>
      <c r="I26" s="34"/>
      <c r="J26" s="34" t="s">
        <v>45</v>
      </c>
      <c r="K26" s="34"/>
      <c r="L26" s="34"/>
      <c r="M26" s="34" t="s">
        <v>46</v>
      </c>
      <c r="N26" s="34"/>
      <c r="O26" s="34"/>
    </row>
    <row r="27" ht="22" customHeight="1" spans="1:15" x14ac:dyDescent="0.25">
      <c r="A27" s="34" t="s">
        <v>47</v>
      </c>
      <c r="B27" s="34"/>
      <c r="C27" s="34"/>
      <c r="D27" s="34" t="s">
        <v>48</v>
      </c>
      <c r="E27" s="34"/>
      <c r="F27" s="34"/>
      <c r="G27" s="34" t="s">
        <v>49</v>
      </c>
      <c r="H27" s="34"/>
      <c r="I27" s="34"/>
      <c r="J27" s="34" t="s">
        <v>50</v>
      </c>
      <c r="K27" s="34"/>
      <c r="L27" s="34"/>
      <c r="M27" s="34" t="s">
        <v>51</v>
      </c>
      <c r="N27" s="34"/>
      <c r="O27" s="34"/>
    </row>
    <row r="28" ht="22" customHeight="1" spans="1:15" x14ac:dyDescent="0.25">
      <c r="A28" s="34" t="s">
        <v>52</v>
      </c>
      <c r="B28" s="34"/>
      <c r="C28" s="34"/>
      <c r="D28" s="34" t="s">
        <v>53</v>
      </c>
      <c r="E28" s="34"/>
      <c r="F28" s="34"/>
      <c r="G28" s="34" t="s">
        <v>54</v>
      </c>
      <c r="H28" s="34"/>
      <c r="I28" s="34"/>
      <c r="J28" s="34" t="s">
        <v>55</v>
      </c>
      <c r="K28" s="34"/>
      <c r="L28" s="34"/>
      <c r="M28" s="34" t="s">
        <v>56</v>
      </c>
      <c r="N28" s="34"/>
      <c r="O28" s="34"/>
    </row>
    <row r="29" ht="22" customHeight="1" spans="1:15" x14ac:dyDescent="0.25">
      <c r="A29" s="35"/>
      <c r="B29" s="36"/>
      <c r="C29" s="36"/>
      <c r="D29" s="35"/>
      <c r="E29" s="36"/>
      <c r="F29" s="36"/>
      <c r="G29" s="35"/>
      <c r="H29" s="36"/>
      <c r="I29" s="36"/>
      <c r="J29" s="34" t="s">
        <v>57</v>
      </c>
      <c r="K29" s="34"/>
      <c r="L29" s="34"/>
      <c r="M29" s="34" t="s">
        <v>58</v>
      </c>
      <c r="N29" s="34"/>
      <c r="O29" s="34"/>
    </row>
    <row r="30" ht="22" customHeight="1" spans="1:15" x14ac:dyDescent="0.25">
      <c r="A30" s="35"/>
      <c r="B30" s="36"/>
      <c r="C30" s="36"/>
      <c r="D30" s="35"/>
      <c r="E30" s="36"/>
      <c r="F30" s="36"/>
      <c r="G30" s="35"/>
      <c r="H30" s="36"/>
      <c r="I30" s="36"/>
      <c r="J30" s="35"/>
      <c r="K30" s="36"/>
      <c r="L30" s="36"/>
      <c r="M30" s="35"/>
      <c r="N30" s="36"/>
      <c r="O30" s="36"/>
    </row>
    <row r="31" spans="1:15" x14ac:dyDescent="0.25">
      <c r="A31" s="25"/>
      <c r="B31" s="25"/>
      <c r="C31" s="25"/>
      <c r="D31" s="25"/>
      <c r="E31" s="25"/>
      <c r="F31" s="25"/>
      <c r="G31" s="25"/>
      <c r="H31" s="25"/>
      <c r="I31" s="25"/>
      <c r="J31" s="25"/>
      <c r="K31" s="25"/>
      <c r="L31" s="25"/>
      <c r="M31" s="25"/>
      <c r="N31" s="25"/>
      <c r="O31" s="25"/>
    </row>
  </sheetData>
  <mergeCells count="64">
    <mergeCell ref="A1:O1"/>
    <mergeCell ref="A2:O2"/>
    <mergeCell ref="A3:O3"/>
    <mergeCell ref="A4:O4"/>
    <mergeCell ref="A5:E5"/>
    <mergeCell ref="F5:J5"/>
    <mergeCell ref="K5:O5"/>
    <mergeCell ref="A6:E7"/>
    <mergeCell ref="F6:J7"/>
    <mergeCell ref="K6:O7"/>
    <mergeCell ref="A8:C9"/>
    <mergeCell ref="D8:E9"/>
    <mergeCell ref="F8:H9"/>
    <mergeCell ref="I8:J9"/>
    <mergeCell ref="K8:M9"/>
    <mergeCell ref="N8:O9"/>
    <mergeCell ref="A10:E10"/>
    <mergeCell ref="F10:J10"/>
    <mergeCell ref="K10:O10"/>
    <mergeCell ref="A11:E12"/>
    <mergeCell ref="F11:J12"/>
    <mergeCell ref="K11:O12"/>
    <mergeCell ref="A13:C14"/>
    <mergeCell ref="D13:E14"/>
    <mergeCell ref="F13:H14"/>
    <mergeCell ref="I13:J14"/>
    <mergeCell ref="K13:M14"/>
    <mergeCell ref="N13:O14"/>
    <mergeCell ref="A16:H16"/>
    <mergeCell ref="I16:O16"/>
    <mergeCell ref="A17:H21"/>
    <mergeCell ref="I17:O17"/>
    <mergeCell ref="I18:O18"/>
    <mergeCell ref="I19:O19"/>
    <mergeCell ref="I20:O20"/>
    <mergeCell ref="I21:O21"/>
    <mergeCell ref="A23:O23"/>
    <mergeCell ref="A24:C24"/>
    <mergeCell ref="D24:F24"/>
    <mergeCell ref="G24:I24"/>
    <mergeCell ref="J24:L24"/>
    <mergeCell ref="M24:O24"/>
    <mergeCell ref="A25:C25"/>
    <mergeCell ref="D25:F25"/>
    <mergeCell ref="G25:I25"/>
    <mergeCell ref="J25:L25"/>
    <mergeCell ref="M25:O25"/>
    <mergeCell ref="A26:C26"/>
    <mergeCell ref="D26:F26"/>
    <mergeCell ref="G26:I26"/>
    <mergeCell ref="J26:L26"/>
    <mergeCell ref="M26:O26"/>
    <mergeCell ref="A27:C27"/>
    <mergeCell ref="D27:F27"/>
    <mergeCell ref="G27:I27"/>
    <mergeCell ref="J27:L27"/>
    <mergeCell ref="M27:O27"/>
    <mergeCell ref="A28:C28"/>
    <mergeCell ref="D28:F28"/>
    <mergeCell ref="G28:I28"/>
    <mergeCell ref="J28:L28"/>
    <mergeCell ref="M28:O28"/>
    <mergeCell ref="J29:L29"/>
    <mergeCell ref="M29:O29"/>
  </mergeCells>
  <hyperlinks>
    <hyperlink ref="D8" r:id="rId1" tooltip="Open sheet -&gt; PROFILE" location="#'PROFILE'!A8"/>
    <hyperlink ref="I8" r:id="rId2" tooltip="Open sheet -&gt; PROJECTS" location="#'PROJECTS'!A8"/>
    <hyperlink ref="N8" r:id="rId3" tooltip="Open sheet -&gt; TESTIMONIALS" location="#'TESTIMONIALS'!A8"/>
    <hyperlink ref="D13" r:id="rId4" tooltip="Open sheet -&gt; HERO" location="#'HERO'!A8"/>
    <hyperlink ref="I13" r:id="rId5" tooltip="Open sheet -&gt; CONTACT" location="#'CONTACT'!A8"/>
    <hyperlink ref="N13" r:id="rId6" tooltip="Open sheet -&gt; ASSETS" location="#'ASSETS'!A8"/>
    <hyperlink ref="I18" r:id="rId7" tooltip="Workbook Guide -&gt; README" location="#'README'!A8"/>
    <hyperlink ref="I19" r:id="rId8" tooltip="Profile -&gt; PROFILE" location="#'PROFILE'!A8"/>
    <hyperlink ref="I20" r:id="rId9" tooltip="Projects -&gt; PROJECTS" location="#'PROJECTS'!A8"/>
    <hyperlink ref="I21" r:id="rId10" tooltip="Testimonials -&gt; TESTIMONIALS" location="#'TESTIMONIALS'!A8"/>
    <hyperlink ref="A26" r:id="rId11" tooltip="Navigation Config -&gt; NAVIGATION_CONFIG" location="#'NAVIGATION_CONFIG'!A8"/>
    <hyperlink ref="D26" r:id="rId12" tooltip="About Bio -&gt; ABOUT_BIO" location="#'ABOUT_BIO'!A8"/>
    <hyperlink ref="G26" r:id="rId13" tooltip="Terminal -&gt; TERMINAL" location="#'TERMINAL'!A8"/>
    <hyperlink ref="J26" r:id="rId14" tooltip="Skill Categories -&gt; SKILL_CATEGORIES" location="#'SKILL_CATEGORIES'!A8"/>
    <hyperlink ref="M26" r:id="rId15" tooltip="Testimonial Sources -&gt; TESTIMONIAL_SOURCES" location="#'TESTIMONIAL_SOURCES'!A8"/>
    <hyperlink ref="A27" r:id="rId16" tooltip="Navigation -&gt; NAVIGATION" location="#'NAVIGATION'!A8"/>
    <hyperlink ref="D27" r:id="rId17" tooltip="About Stats -&gt; ABOUT_STATS" location="#'ABOUT_STATS'!A8"/>
    <hyperlink ref="G27" r:id="rId18" tooltip="Terminal Lines -&gt; TERMINAL_LINES" location="#'TERMINAL_LINES'!A8"/>
    <hyperlink ref="J27" r:id="rId19" tooltip="Skill Items -&gt; SKILL_ITEMS" location="#'SKILL_ITEMS'!A8"/>
    <hyperlink ref="M27" r:id="rId20" tooltip="Contact Social -&gt; CONTACT_SOCIAL" location="#'CONTACT_SOCIAL'!A8"/>
    <hyperlink ref="A28" r:id="rId21" tooltip="Section Headers -&gt; SECTION_HEADERS" location="#'SECTION_HEADERS'!A8"/>
    <hyperlink ref="D28" r:id="rId22" tooltip="Hero Metadata -&gt; HERO_METADATA" location="#'HERO_METADATA'!A8"/>
    <hyperlink ref="G28" r:id="rId23" tooltip="Terminal Capabilities -&gt; TERMINAL_CAPABILITIES" location="#'TERMINAL_CAPABILITIES'!A8"/>
    <hyperlink ref="J28" r:id="rId24" tooltip="Project Stack -&gt; PROJECT_STACK" location="#'PROJECT_STACK'!A8"/>
    <hyperlink ref="M28" r:id="rId25" tooltip="Contact Metadata -&gt; CONTACT_METADATA" location="#'CONTACT_METADATA'!A8"/>
    <hyperlink ref="J29" r:id="rId26" tooltip="Project Architecture -&gt; PROJECT_ARCH" location="#'PROJECT_ARCH'!A8"/>
    <hyperlink ref="M29" r:id="rId27" tooltip="Footer -&gt; FOOTER" location="#'FOOTER'!A8"/>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293B"/>
  </sheetPr>
  <dimension ref="A1:L30"/>
  <sheetViews>
    <sheetView workbookViewId="0" showRowColHeaders="0" showGridLines="0">
      <pane ySplit="4" topLeftCell="A5" activePane="bottomLeft" state="frozen"/>
      <selection pane="bottomLeft"/>
    </sheetView>
  </sheetViews>
  <sheetFormatPr defaultRowHeight="15" outlineLevelRow="0" outlineLevelCol="0" x14ac:dyDescent="55"/>
  <cols>
    <col min="1" max="12" width="15" customWidth="1"/>
  </cols>
  <sheetData>
    <row r="1" ht="30" customHeight="1" spans="1:12" x14ac:dyDescent="0.25">
      <c r="A1" s="37" t="s">
        <v>27</v>
      </c>
      <c r="B1" s="37"/>
      <c r="C1" s="37"/>
      <c r="D1" s="37"/>
      <c r="E1" s="37"/>
      <c r="F1" s="37"/>
      <c r="G1" s="37"/>
      <c r="H1" s="37"/>
      <c r="I1" s="37"/>
      <c r="J1" s="37"/>
      <c r="K1" s="37"/>
      <c r="L1" s="37"/>
    </row>
    <row r="2" ht="22" customHeight="1" spans="1:12" x14ac:dyDescent="0.25">
      <c r="A2" s="38" t="s">
        <v>59</v>
      </c>
      <c r="B2" s="38"/>
      <c r="C2" s="38"/>
      <c r="D2" s="38"/>
      <c r="E2" s="38"/>
      <c r="F2" s="38"/>
      <c r="G2" s="38"/>
      <c r="H2" s="38"/>
      <c r="I2" s="38"/>
      <c r="J2" s="38"/>
      <c r="K2" s="38"/>
      <c r="L2" s="38"/>
    </row>
    <row r="3" ht="20" customHeight="1" spans="1:12" x14ac:dyDescent="0.25">
      <c r="A3" s="39" t="s">
        <v>60</v>
      </c>
      <c r="B3" s="39"/>
      <c r="C3" s="39"/>
      <c r="D3" s="39"/>
      <c r="E3" s="39"/>
      <c r="F3" s="39"/>
      <c r="G3" s="39"/>
      <c r="H3" s="39"/>
      <c r="I3" s="39"/>
      <c r="J3" s="39"/>
      <c r="K3" s="39"/>
      <c r="L3" s="39"/>
    </row>
    <row r="4" ht="20" customHeight="1" spans="1:12" x14ac:dyDescent="0.25">
      <c r="A4" s="30" t="s">
        <v>61</v>
      </c>
      <c r="B4" s="30"/>
      <c r="C4" s="4" t="s">
        <v>62</v>
      </c>
      <c r="D4" s="4"/>
      <c r="E4" s="4"/>
      <c r="F4" s="4"/>
      <c r="G4" s="4"/>
      <c r="H4" s="4"/>
      <c r="I4" s="4"/>
      <c r="J4" s="4"/>
      <c r="K4" s="4"/>
      <c r="L4" s="4"/>
    </row>
    <row r="5" ht="20" customHeight="1" spans="1:12" x14ac:dyDescent="0.25">
      <c r="A5" s="30" t="s">
        <v>28</v>
      </c>
      <c r="B5" s="30"/>
      <c r="C5" s="30" t="s">
        <v>29</v>
      </c>
      <c r="D5" s="30"/>
      <c r="E5" s="30" t="s">
        <v>30</v>
      </c>
      <c r="F5" s="30"/>
      <c r="G5" s="30" t="s">
        <v>63</v>
      </c>
      <c r="H5" s="30"/>
      <c r="I5" s="30" t="s">
        <v>64</v>
      </c>
      <c r="J5" s="30"/>
      <c r="K5" s="25"/>
      <c r="L5" s="25"/>
    </row>
    <row r="6" ht="22" customHeight="1" spans="1:12" x14ac:dyDescent="0.25">
      <c r="A6" s="25"/>
      <c r="B6" s="25"/>
      <c r="C6" s="25"/>
      <c r="D6" s="25"/>
      <c r="E6" s="25"/>
      <c r="F6" s="25"/>
      <c r="G6" s="25"/>
      <c r="H6" s="25"/>
      <c r="I6" s="25"/>
      <c r="J6" s="25"/>
      <c r="K6" s="25"/>
      <c r="L6" s="25"/>
    </row>
    <row r="7" ht="22" customHeight="1" spans="1:12" x14ac:dyDescent="0.25">
      <c r="A7" s="40" t="s">
        <v>65</v>
      </c>
      <c r="B7" s="40"/>
      <c r="C7" s="40"/>
      <c r="D7" s="40"/>
      <c r="E7" s="41" t="s">
        <v>66</v>
      </c>
      <c r="F7" s="41"/>
      <c r="G7" s="41"/>
      <c r="H7" s="41"/>
      <c r="I7" s="42" t="s">
        <v>67</v>
      </c>
      <c r="J7" s="42"/>
      <c r="K7" s="42"/>
      <c r="L7" s="42"/>
    </row>
    <row r="8" ht="22" customHeight="1" spans="1:12" x14ac:dyDescent="0.25">
      <c r="A8" s="43" t="s">
        <v>68</v>
      </c>
      <c r="B8" s="43"/>
      <c r="C8" s="43"/>
      <c r="D8" s="43"/>
      <c r="E8" s="44" t="s">
        <v>69</v>
      </c>
      <c r="F8" s="44"/>
      <c r="G8" s="44"/>
      <c r="H8" s="44"/>
      <c r="I8" s="45" t="s">
        <v>70</v>
      </c>
      <c r="J8" s="45"/>
      <c r="K8" s="45"/>
      <c r="L8" s="45"/>
    </row>
    <row r="9" ht="22" customHeight="1" spans="1:12" x14ac:dyDescent="0.25">
      <c r="A9" s="43"/>
      <c r="B9" s="43"/>
      <c r="C9" s="43"/>
      <c r="D9" s="43"/>
      <c r="E9" s="44"/>
      <c r="F9" s="44"/>
      <c r="G9" s="44"/>
      <c r="H9" s="44"/>
      <c r="I9" s="45"/>
      <c r="J9" s="45"/>
      <c r="K9" s="45"/>
      <c r="L9" s="45"/>
    </row>
    <row r="10" ht="22" customHeight="1" spans="1:12" x14ac:dyDescent="0.25">
      <c r="A10" s="43"/>
      <c r="B10" s="43"/>
      <c r="C10" s="43"/>
      <c r="D10" s="43"/>
      <c r="E10" s="44"/>
      <c r="F10" s="44"/>
      <c r="G10" s="44"/>
      <c r="H10" s="44"/>
      <c r="I10" s="45"/>
      <c r="J10" s="45"/>
      <c r="K10" s="45"/>
      <c r="L10" s="45"/>
    </row>
    <row r="11" ht="22" customHeight="1" spans="1:12" x14ac:dyDescent="0.25">
      <c r="A11" s="43"/>
      <c r="B11" s="43"/>
      <c r="C11" s="43"/>
      <c r="D11" s="43"/>
      <c r="E11" s="44"/>
      <c r="F11" s="44"/>
      <c r="G11" s="44"/>
      <c r="H11" s="44"/>
      <c r="I11" s="45"/>
      <c r="J11" s="45"/>
      <c r="K11" s="45"/>
      <c r="L11" s="45"/>
    </row>
    <row r="12" ht="22" customHeight="1" spans="1:12" x14ac:dyDescent="0.25">
      <c r="A12" s="25"/>
      <c r="B12" s="25"/>
      <c r="C12" s="25"/>
      <c r="D12" s="25"/>
      <c r="E12" s="25"/>
      <c r="F12" s="25"/>
      <c r="G12" s="25"/>
      <c r="H12" s="25"/>
      <c r="I12" s="25"/>
      <c r="J12" s="25"/>
      <c r="K12" s="25"/>
      <c r="L12" s="25"/>
    </row>
    <row r="13" ht="22" customHeight="1" spans="1:12" x14ac:dyDescent="0.25">
      <c r="A13" s="46" t="s">
        <v>71</v>
      </c>
      <c r="B13" s="46"/>
      <c r="C13" s="46"/>
      <c r="D13" s="46"/>
      <c r="E13" s="47" t="s">
        <v>72</v>
      </c>
      <c r="F13" s="47"/>
      <c r="G13" s="47"/>
      <c r="H13" s="47"/>
      <c r="I13" s="42" t="s">
        <v>73</v>
      </c>
      <c r="J13" s="42"/>
      <c r="K13" s="42"/>
      <c r="L13" s="42"/>
    </row>
    <row r="14" ht="22" customHeight="1" spans="1:12" x14ac:dyDescent="0.25">
      <c r="A14" s="48" t="s">
        <v>74</v>
      </c>
      <c r="B14" s="48"/>
      <c r="C14" s="48"/>
      <c r="D14" s="48"/>
      <c r="E14" s="49" t="s">
        <v>75</v>
      </c>
      <c r="F14" s="49"/>
      <c r="G14" s="49"/>
      <c r="H14" s="49"/>
      <c r="I14" s="45" t="s">
        <v>76</v>
      </c>
      <c r="J14" s="45"/>
      <c r="K14" s="45"/>
      <c r="L14" s="45"/>
    </row>
    <row r="15" ht="22" customHeight="1" spans="1:12" x14ac:dyDescent="0.25">
      <c r="A15" s="48"/>
      <c r="B15" s="48"/>
      <c r="C15" s="48"/>
      <c r="D15" s="48"/>
      <c r="E15" s="49"/>
      <c r="F15" s="49"/>
      <c r="G15" s="49"/>
      <c r="H15" s="49"/>
      <c r="I15" s="45"/>
      <c r="J15" s="45"/>
      <c r="K15" s="45"/>
      <c r="L15" s="45"/>
    </row>
    <row r="16" ht="22" customHeight="1" spans="1:12" x14ac:dyDescent="0.25">
      <c r="A16" s="48"/>
      <c r="B16" s="48"/>
      <c r="C16" s="48"/>
      <c r="D16" s="48"/>
      <c r="E16" s="49"/>
      <c r="F16" s="49"/>
      <c r="G16" s="49"/>
      <c r="H16" s="49"/>
      <c r="I16" s="45"/>
      <c r="J16" s="45"/>
      <c r="K16" s="45"/>
      <c r="L16" s="45"/>
    </row>
    <row r="17" ht="22" customHeight="1" spans="1:12" x14ac:dyDescent="0.25">
      <c r="A17" s="48"/>
      <c r="B17" s="48"/>
      <c r="C17" s="48"/>
      <c r="D17" s="48"/>
      <c r="E17" s="49"/>
      <c r="F17" s="49"/>
      <c r="G17" s="49"/>
      <c r="H17" s="49"/>
      <c r="I17" s="45"/>
      <c r="J17" s="45"/>
      <c r="K17" s="45"/>
      <c r="L17" s="45"/>
    </row>
    <row r="18" ht="22" customHeight="1" spans="1:12" x14ac:dyDescent="0.25">
      <c r="A18" s="48"/>
      <c r="B18" s="48"/>
      <c r="C18" s="48"/>
      <c r="D18" s="48"/>
      <c r="E18" s="49"/>
      <c r="F18" s="49"/>
      <c r="G18" s="49"/>
      <c r="H18" s="49"/>
      <c r="I18" s="45"/>
      <c r="J18" s="45"/>
      <c r="K18" s="45"/>
      <c r="L18" s="45"/>
    </row>
    <row r="19" ht="22" customHeight="1" spans="1:12" x14ac:dyDescent="0.25">
      <c r="A19" s="25"/>
      <c r="B19" s="25"/>
      <c r="C19" s="25"/>
      <c r="D19" s="25"/>
      <c r="E19" s="25"/>
      <c r="F19" s="25"/>
      <c r="G19" s="25"/>
      <c r="H19" s="25"/>
      <c r="I19" s="25"/>
      <c r="J19" s="25"/>
      <c r="K19" s="25"/>
      <c r="L19" s="25"/>
    </row>
    <row r="20" ht="22" customHeight="1" spans="1:12" x14ac:dyDescent="0.25">
      <c r="A20" s="50" t="s">
        <v>77</v>
      </c>
      <c r="B20" s="50"/>
      <c r="C20" s="50"/>
      <c r="D20" s="50"/>
      <c r="E20" s="50"/>
      <c r="F20" s="50"/>
      <c r="G20" s="32" t="s">
        <v>31</v>
      </c>
      <c r="H20" s="32"/>
      <c r="I20" s="32"/>
      <c r="J20" s="32"/>
      <c r="K20" s="32"/>
      <c r="L20" s="32"/>
    </row>
    <row r="21" ht="22" customHeight="1" spans="1:12" x14ac:dyDescent="0.25">
      <c r="A21" s="22" t="s">
        <v>28</v>
      </c>
      <c r="B21" s="22"/>
      <c r="C21" s="22"/>
      <c r="D21" s="22"/>
      <c r="E21" s="22"/>
      <c r="F21" s="22"/>
      <c r="G21" s="34" t="s">
        <v>42</v>
      </c>
      <c r="H21" s="34"/>
      <c r="I21" s="34"/>
      <c r="J21" s="34"/>
      <c r="K21" s="34"/>
      <c r="L21" s="34"/>
    </row>
    <row r="22" ht="22" customHeight="1" spans="1:12" x14ac:dyDescent="0.25">
      <c r="A22" s="22" t="s">
        <v>78</v>
      </c>
      <c r="B22" s="22"/>
      <c r="C22" s="22"/>
      <c r="D22" s="22"/>
      <c r="E22" s="22"/>
      <c r="F22" s="22"/>
      <c r="G22" s="34" t="s">
        <v>47</v>
      </c>
      <c r="H22" s="34"/>
      <c r="I22" s="34"/>
      <c r="J22" s="34"/>
      <c r="K22" s="34"/>
      <c r="L22" s="34"/>
    </row>
    <row r="23" ht="22" customHeight="1" spans="1:12" x14ac:dyDescent="0.25">
      <c r="A23" s="22" t="s">
        <v>29</v>
      </c>
      <c r="B23" s="22"/>
      <c r="C23" s="22"/>
      <c r="D23" s="22"/>
      <c r="E23" s="22"/>
      <c r="F23" s="22"/>
      <c r="G23" s="34" t="s">
        <v>43</v>
      </c>
      <c r="H23" s="34"/>
      <c r="I23" s="34"/>
      <c r="J23" s="34"/>
      <c r="K23" s="34"/>
      <c r="L23" s="34"/>
    </row>
    <row r="24" ht="22" customHeight="1" spans="1:12" x14ac:dyDescent="0.25">
      <c r="A24" s="22" t="s">
        <v>30</v>
      </c>
      <c r="B24" s="22"/>
      <c r="C24" s="22"/>
      <c r="D24" s="22"/>
      <c r="E24" s="22"/>
      <c r="F24" s="22"/>
      <c r="G24" s="34" t="s">
        <v>48</v>
      </c>
      <c r="H24" s="34"/>
      <c r="I24" s="34"/>
      <c r="J24" s="34"/>
      <c r="K24" s="34"/>
      <c r="L24" s="34"/>
    </row>
    <row r="25" ht="22" customHeight="1" spans="1:12" x14ac:dyDescent="0.25">
      <c r="A25" s="22" t="s">
        <v>79</v>
      </c>
      <c r="B25" s="22"/>
      <c r="C25" s="22"/>
      <c r="D25" s="22"/>
      <c r="E25" s="22"/>
      <c r="F25" s="22"/>
      <c r="G25" s="34" t="s">
        <v>53</v>
      </c>
      <c r="H25" s="34"/>
      <c r="I25" s="34"/>
      <c r="J25" s="34"/>
      <c r="K25" s="34"/>
      <c r="L25" s="34"/>
    </row>
    <row r="26" ht="22" customHeight="1" spans="1:12" x14ac:dyDescent="0.25">
      <c r="A26" s="22" t="s">
        <v>63</v>
      </c>
      <c r="B26" s="22"/>
      <c r="C26" s="22"/>
      <c r="D26" s="22"/>
      <c r="E26" s="22"/>
      <c r="F26" s="22"/>
      <c r="G26" s="34" t="s">
        <v>44</v>
      </c>
      <c r="H26" s="34"/>
      <c r="I26" s="34"/>
      <c r="J26" s="34"/>
      <c r="K26" s="34"/>
      <c r="L26" s="34"/>
    </row>
    <row r="27" ht="22" customHeight="1" spans="1:12" x14ac:dyDescent="0.25">
      <c r="A27" s="22" t="s">
        <v>80</v>
      </c>
      <c r="B27" s="22"/>
      <c r="C27" s="22"/>
      <c r="D27" s="22"/>
      <c r="E27" s="22"/>
      <c r="F27" s="22"/>
      <c r="G27" s="34" t="s">
        <v>49</v>
      </c>
      <c r="H27" s="34"/>
      <c r="I27" s="34"/>
      <c r="J27" s="34"/>
      <c r="K27" s="34"/>
      <c r="L27" s="34"/>
    </row>
    <row r="28" ht="22" customHeight="1" spans="1:12" x14ac:dyDescent="0.25">
      <c r="A28" s="25"/>
      <c r="B28" s="25"/>
      <c r="C28" s="25"/>
      <c r="D28" s="25"/>
      <c r="E28" s="25"/>
      <c r="F28" s="25"/>
      <c r="G28" s="51" t="s">
        <v>81</v>
      </c>
      <c r="H28" s="51"/>
      <c r="I28" s="51"/>
      <c r="J28" s="51"/>
      <c r="K28" s="51"/>
      <c r="L28" s="51"/>
    </row>
    <row r="29" spans="1:12" x14ac:dyDescent="0.25">
      <c r="A29" s="25"/>
      <c r="B29" s="25"/>
      <c r="C29" s="25"/>
      <c r="D29" s="25"/>
      <c r="E29" s="25"/>
      <c r="F29" s="25"/>
      <c r="G29" s="25"/>
      <c r="H29" s="25"/>
      <c r="I29" s="25"/>
      <c r="J29" s="25"/>
      <c r="K29" s="25"/>
      <c r="L29" s="25"/>
    </row>
    <row r="30" spans="1:12" x14ac:dyDescent="0.25">
      <c r="A30" s="25"/>
      <c r="B30" s="25"/>
      <c r="C30" s="25"/>
      <c r="D30" s="25"/>
      <c r="E30" s="25"/>
      <c r="F30" s="25"/>
      <c r="G30" s="25"/>
      <c r="H30" s="25"/>
      <c r="I30" s="25"/>
      <c r="J30" s="25"/>
      <c r="K30" s="25"/>
      <c r="L30" s="25"/>
    </row>
  </sheetData>
  <mergeCells count="39">
    <mergeCell ref="A1:L1"/>
    <mergeCell ref="A2:L2"/>
    <mergeCell ref="A3:L3"/>
    <mergeCell ref="A4:B4"/>
    <mergeCell ref="C4:L4"/>
    <mergeCell ref="A5:B5"/>
    <mergeCell ref="C5:D5"/>
    <mergeCell ref="E5:F5"/>
    <mergeCell ref="G5:H5"/>
    <mergeCell ref="I5:J5"/>
    <mergeCell ref="A7:D7"/>
    <mergeCell ref="E7:H7"/>
    <mergeCell ref="I7:L7"/>
    <mergeCell ref="A8:D11"/>
    <mergeCell ref="E8:H11"/>
    <mergeCell ref="I8:L11"/>
    <mergeCell ref="A13:D13"/>
    <mergeCell ref="E13:H13"/>
    <mergeCell ref="I13:L13"/>
    <mergeCell ref="A14:D18"/>
    <mergeCell ref="E14:H18"/>
    <mergeCell ref="I14:L18"/>
    <mergeCell ref="A20:F20"/>
    <mergeCell ref="G20:L20"/>
    <mergeCell ref="A21:F21"/>
    <mergeCell ref="G21:L21"/>
    <mergeCell ref="A22:F22"/>
    <mergeCell ref="G22:L22"/>
    <mergeCell ref="A23:F23"/>
    <mergeCell ref="G23:L23"/>
    <mergeCell ref="A24:F24"/>
    <mergeCell ref="G24:L24"/>
    <mergeCell ref="A25:F25"/>
    <mergeCell ref="G25:L25"/>
    <mergeCell ref="A26:F26"/>
    <mergeCell ref="G26:L26"/>
    <mergeCell ref="A27:F27"/>
    <mergeCell ref="G27:L27"/>
    <mergeCell ref="G28:L28"/>
  </mergeCells>
  <hyperlinks>
    <hyperlink ref="A4" r:id="rId1" tooltip="Back to HOME -&gt; HOME" location="#'HOME'!A1"/>
    <hyperlink ref="A5" r:id="rId2" tooltip="Profile -&gt; PROFILE" location="#'PROFILE'!A1"/>
    <hyperlink ref="C5" r:id="rId3" tooltip="Projects -&gt; PROJECTS" location="#'PROJECTS'!A1"/>
    <hyperlink ref="E5" r:id="rId4" tooltip="Testimonials -&gt; TESTIMONIALS" location="#'TESTIMONIALS'!A1"/>
    <hyperlink ref="G5" r:id="rId5" tooltip="Assets -&gt; ASSETS" location="#'ASSETS'!A1"/>
    <hyperlink ref="I5" r:id="rId6" tooltip="Preview -&gt; ASSET_PREVIEW" location="#'ASSET_PREVIEW'!A1"/>
    <hyperlink ref="A21" r:id="rId7" tooltip="Profile -&gt; PROFILE" location="#'PROFILE'!A8"/>
    <hyperlink ref="G21" r:id="rId8" tooltip="Navigation Config -&gt; NAVIGATION_CONFIG" location="#'NAVIGATION_CONFIG'!A8"/>
    <hyperlink ref="A22" r:id="rId9" tooltip="Hero -&gt; HERO" location="#'HERO'!A8"/>
    <hyperlink ref="G22" r:id="rId10" tooltip="Navigation -&gt; NAVIGATION" location="#'NAVIGATION'!A8"/>
    <hyperlink ref="A23" r:id="rId11" tooltip="Projects -&gt; PROJECTS" location="#'PROJECTS'!A8"/>
    <hyperlink ref="G23" r:id="rId12" tooltip="About Bio -&gt; ABOUT_BIO" location="#'ABOUT_BIO'!A8"/>
    <hyperlink ref="A24" r:id="rId13" tooltip="Testimonials -&gt; TESTIMONIALS" location="#'TESTIMONIALS'!A8"/>
    <hyperlink ref="G24" r:id="rId14" tooltip="About Stats -&gt; ABOUT_STATS" location="#'ABOUT_STATS'!A8"/>
    <hyperlink ref="A25" r:id="rId15" tooltip="Contact -&gt; CONTACT" location="#'CONTACT'!A8"/>
    <hyperlink ref="G25" r:id="rId16" tooltip="Hero Metadata -&gt; HERO_METADATA" location="#'HERO_METADATA'!A8"/>
    <hyperlink ref="A26" r:id="rId17" tooltip="Assets -&gt; ASSETS" location="#'ASSETS'!A8"/>
    <hyperlink ref="G26" r:id="rId18" tooltip="Terminal -&gt; TERMINAL" location="#'TERMINAL'!A8"/>
    <hyperlink ref="A27" r:id="rId19" tooltip="Asset Preview Index -&gt; ASSET_PREVIEW" location="#'ASSET_PREVIEW'!A8"/>
    <hyperlink ref="G27" r:id="rId20" tooltip="Terminal Lines -&gt; TERMINAL_LINES" location="#'TERMINAL_LINES'!A8"/>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FormatPr defaultRowHeight="15" outlineLevelRow="0" outlineLevelCol="0" x14ac:dyDescent="55"/>
  <cols>
    <col min="1" max="16" width="28" customWidth="1"/>
  </cols>
  <sheetData>
    <row r="1" spans="1:16" x14ac:dyDescent="0.25">
      <c r="A1" s="52" t="s">
        <v>82</v>
      </c>
      <c r="B1" s="52" t="s">
        <v>83</v>
      </c>
      <c r="C1" s="52" t="s">
        <v>84</v>
      </c>
      <c r="D1" s="52" t="s">
        <v>85</v>
      </c>
      <c r="E1" s="52" t="s">
        <v>86</v>
      </c>
      <c r="F1" s="52" t="s">
        <v>87</v>
      </c>
      <c r="G1" s="52" t="s">
        <v>88</v>
      </c>
      <c r="H1" s="52" t="s">
        <v>89</v>
      </c>
      <c r="I1" s="52" t="s">
        <v>90</v>
      </c>
      <c r="J1" s="52" t="s">
        <v>91</v>
      </c>
      <c r="K1" s="52" t="s">
        <v>92</v>
      </c>
      <c r="L1" s="52" t="s">
        <v>93</v>
      </c>
      <c r="M1" s="52" t="s">
        <v>94</v>
      </c>
      <c r="N1" s="52" t="s">
        <v>95</v>
      </c>
      <c r="O1" s="52" t="s">
        <v>96</v>
      </c>
      <c r="P1" s="52" t="s">
        <v>97</v>
      </c>
    </row>
    <row r="2" spans="1:16" x14ac:dyDescent="0.25">
      <c r="A2" t="s">
        <v>98</v>
      </c>
      <c r="B2" t="s">
        <v>99</v>
      </c>
      <c r="C2" t="s">
        <v>100</v>
      </c>
      <c r="D2" t="s">
        <v>101</v>
      </c>
      <c r="E2" t="s">
        <v>102</v>
      </c>
      <c r="F2" t="s">
        <v>103</v>
      </c>
      <c r="G2" t="s">
        <v>104</v>
      </c>
      <c r="H2" t="s">
        <v>105</v>
      </c>
      <c r="I2" t="s">
        <v>104</v>
      </c>
      <c r="J2" t="s">
        <v>106</v>
      </c>
      <c r="K2" t="s">
        <v>107</v>
      </c>
      <c r="L2" t="s">
        <v>108</v>
      </c>
      <c r="M2" t="s">
        <v>99</v>
      </c>
      <c r="N2" t="s">
        <v>109</v>
      </c>
      <c r="O2" t="s">
        <v>110</v>
      </c>
      <c r="P2" t="s">
        <v>111</v>
      </c>
    </row>
    <row r="3" spans="1:16" x14ac:dyDescent="0.25">
      <c r="A3" t="s">
        <v>112</v>
      </c>
      <c r="B3" t="s">
        <v>113</v>
      </c>
      <c r="C3" t="s">
        <v>102</v>
      </c>
      <c r="D3" t="s">
        <v>114</v>
      </c>
      <c r="E3" t="s">
        <v>100</v>
      </c>
      <c r="F3" t="s">
        <v>115</v>
      </c>
      <c r="G3" t="s">
        <v>116</v>
      </c>
      <c r="H3" t="s">
        <v>117</v>
      </c>
      <c r="I3" t="s">
        <v>116</v>
      </c>
      <c r="J3" t="s">
        <v>118</v>
      </c>
      <c r="K3" t="s">
        <v>119</v>
      </c>
      <c r="L3" t="s">
        <v>120</v>
      </c>
      <c r="M3" t="s">
        <v>113</v>
      </c>
      <c r="N3" t="s">
        <v>121</v>
      </c>
      <c r="O3" t="s">
        <v>122</v>
      </c>
      <c r="P3" t="s">
        <v>123</v>
      </c>
    </row>
    <row r="4" spans="2:16" x14ac:dyDescent="0.25">
      <c r="B4" t="s">
        <v>124</v>
      </c>
      <c r="C4" t="s">
        <v>125</v>
      </c>
      <c r="D4" t="s">
        <v>126</v>
      </c>
      <c r="E4" t="s">
        <v>127</v>
      </c>
      <c r="G4" t="s">
        <v>128</v>
      </c>
      <c r="J4" t="s">
        <v>129</v>
      </c>
      <c r="K4" t="s">
        <v>130</v>
      </c>
      <c r="M4" t="s">
        <v>124</v>
      </c>
      <c r="N4" t="s">
        <v>131</v>
      </c>
      <c r="O4" t="s">
        <v>132</v>
      </c>
      <c r="P4" t="s">
        <v>133</v>
      </c>
    </row>
    <row r="5" spans="2:16" x14ac:dyDescent="0.25">
      <c r="B5" t="s">
        <v>134</v>
      </c>
      <c r="C5" t="s">
        <v>135</v>
      </c>
      <c r="G5" t="s">
        <v>136</v>
      </c>
      <c r="J5" t="s">
        <v>137</v>
      </c>
      <c r="K5" t="s">
        <v>138</v>
      </c>
      <c r="M5" t="s">
        <v>134</v>
      </c>
      <c r="N5" t="s">
        <v>139</v>
      </c>
      <c r="O5" t="s">
        <v>140</v>
      </c>
      <c r="P5" t="s">
        <v>141</v>
      </c>
    </row>
    <row r="6" spans="2:16" x14ac:dyDescent="0.25">
      <c r="B6" t="s">
        <v>142</v>
      </c>
      <c r="M6" t="s">
        <v>142</v>
      </c>
      <c r="N6" t="s">
        <v>143</v>
      </c>
      <c r="P6" t="s">
        <v>144</v>
      </c>
    </row>
    <row r="7" spans="13:14" x14ac:dyDescent="0.25">
      <c r="M7" t="s">
        <v>145</v>
      </c>
      <c r="N7" t="s">
        <v>146</v>
      </c>
    </row>
    <row r="8" spans="13:14" x14ac:dyDescent="0.25">
      <c r="M8" t="s">
        <v>147</v>
      </c>
      <c r="N8" t="s">
        <v>148</v>
      </c>
    </row>
    <row r="9" spans="14:14" x14ac:dyDescent="0.25">
      <c r="N9" t="s">
        <v>149</v>
      </c>
    </row>
    <row r="10" spans="14:14" x14ac:dyDescent="0.25">
      <c r="N10" t="s">
        <v>150</v>
      </c>
    </row>
    <row r="11" spans="14:14" x14ac:dyDescent="0.25">
      <c r="N11" t="s">
        <v>151</v>
      </c>
    </row>
    <row r="12" spans="14:14" x14ac:dyDescent="0.25">
      <c r="N12" t="s">
        <v>152</v>
      </c>
    </row>
    <row r="13" spans="14:14" x14ac:dyDescent="0.25">
      <c r="N13" t="s">
        <v>153</v>
      </c>
    </row>
    <row r="14" spans="14:14" x14ac:dyDescent="0.25">
      <c r="N14" t="s">
        <v>154</v>
      </c>
    </row>
    <row r="15" spans="14:14" x14ac:dyDescent="0.25">
      <c r="N15" t="s">
        <v>155</v>
      </c>
    </row>
    <row r="16" spans="14:14" x14ac:dyDescent="0.25">
      <c r="N16" t="s">
        <v>156</v>
      </c>
    </row>
    <row r="17" spans="14:14" x14ac:dyDescent="0.25">
      <c r="N17" t="s">
        <v>157</v>
      </c>
    </row>
    <row r="18" spans="14:14" x14ac:dyDescent="0.25">
      <c r="N18" t="s">
        <v>158</v>
      </c>
    </row>
    <row r="19" spans="14:14" x14ac:dyDescent="0.25">
      <c r="N19" t="s">
        <v>159</v>
      </c>
    </row>
    <row r="20" spans="14:14" x14ac:dyDescent="0.25">
      <c r="N20" t="s">
        <v>160</v>
      </c>
    </row>
    <row r="21" spans="14:14" x14ac:dyDescent="0.25">
      <c r="N21" t="s">
        <v>161</v>
      </c>
    </row>
    <row r="22" spans="14:14" x14ac:dyDescent="0.25">
      <c r="N22" t="s">
        <v>162</v>
      </c>
    </row>
    <row r="23" spans="14:14" x14ac:dyDescent="0.25">
      <c r="N23" t="s">
        <v>163</v>
      </c>
    </row>
    <row r="24" spans="14:14" x14ac:dyDescent="0.25">
      <c r="N24" t="s">
        <v>164</v>
      </c>
    </row>
    <row r="25" spans="14:14" x14ac:dyDescent="0.25">
      <c r="N25" t="s">
        <v>165</v>
      </c>
    </row>
    <row r="26" spans="14:14" x14ac:dyDescent="0.25">
      <c r="N26" t="s">
        <v>166</v>
      </c>
    </row>
    <row r="27" spans="14:14" x14ac:dyDescent="0.25">
      <c r="N27" t="s">
        <v>167</v>
      </c>
    </row>
    <row r="28" spans="14:14" x14ac:dyDescent="0.25">
      <c r="N28" t="s">
        <v>168</v>
      </c>
    </row>
    <row r="29" spans="14:14" x14ac:dyDescent="0.25">
      <c r="N29" t="s">
        <v>169</v>
      </c>
    </row>
    <row r="30" spans="14:14" x14ac:dyDescent="0.25">
      <c r="N30" t="s">
        <v>170</v>
      </c>
    </row>
    <row r="31" spans="14:14" x14ac:dyDescent="0.25">
      <c r="N31" t="s">
        <v>171</v>
      </c>
    </row>
    <row r="32" spans="14:14" x14ac:dyDescent="0.25">
      <c r="N32" t="s">
        <v>172</v>
      </c>
    </row>
    <row r="33" spans="14:14" x14ac:dyDescent="0.25">
      <c r="N33" t="s">
        <v>173</v>
      </c>
    </row>
    <row r="34" spans="14:14" x14ac:dyDescent="0.25">
      <c r="N34" t="s">
        <v>174</v>
      </c>
    </row>
    <row r="35" spans="14:14" x14ac:dyDescent="0.25">
      <c r="N35" t="s">
        <v>175</v>
      </c>
    </row>
    <row r="36" spans="14:14" x14ac:dyDescent="0.25">
      <c r="N36" t="s">
        <v>176</v>
      </c>
    </row>
    <row r="37" spans="14:14" x14ac:dyDescent="0.25">
      <c r="N37" t="s">
        <v>177</v>
      </c>
    </row>
    <row r="38" spans="14:14" x14ac:dyDescent="0.25">
      <c r="N38" t="s">
        <v>178</v>
      </c>
    </row>
    <row r="39" spans="14:14" x14ac:dyDescent="0.25">
      <c r="N39" t="s">
        <v>179</v>
      </c>
    </row>
    <row r="40" spans="14:14" x14ac:dyDescent="0.25">
      <c r="N40" t="s">
        <v>180</v>
      </c>
    </row>
    <row r="41" spans="14:14" x14ac:dyDescent="0.25">
      <c r="N41" t="s">
        <v>181</v>
      </c>
    </row>
    <row r="42" spans="14:14" x14ac:dyDescent="0.25">
      <c r="N42" t="s">
        <v>182</v>
      </c>
    </row>
    <row r="43" spans="14:14" x14ac:dyDescent="0.25">
      <c r="N43" t="s">
        <v>183</v>
      </c>
    </row>
    <row r="44" spans="14:14" x14ac:dyDescent="0.25">
      <c r="N44" t="s">
        <v>184</v>
      </c>
    </row>
    <row r="45" spans="14:14" x14ac:dyDescent="0.25">
      <c r="N45" t="s">
        <v>185</v>
      </c>
    </row>
    <row r="46" spans="14:14" x14ac:dyDescent="0.25">
      <c r="N46" t="s">
        <v>186</v>
      </c>
    </row>
    <row r="47" spans="14:14" x14ac:dyDescent="0.25">
      <c r="N47" t="s">
        <v>187</v>
      </c>
    </row>
    <row r="48" spans="14:14" x14ac:dyDescent="0.25">
      <c r="N48" t="s">
        <v>188</v>
      </c>
    </row>
    <row r="49" spans="14:14" x14ac:dyDescent="0.25">
      <c r="N49" t="s">
        <v>189</v>
      </c>
    </row>
    <row r="50" spans="14:14" x14ac:dyDescent="0.25">
      <c r="N50" t="s">
        <v>190</v>
      </c>
    </row>
    <row r="51" spans="14:14" x14ac:dyDescent="0.25">
      <c r="N51" t="s">
        <v>191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N20"/>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28" style="53" customWidth="1"/>
    <col min="2" max="2" width="32" style="53" customWidth="1"/>
    <col min="3" max="3" width="56" style="54" customWidth="1"/>
    <col min="4" max="4" width="24" style="53" customWidth="1"/>
    <col min="5" max="5" width="30" style="54" customWidth="1"/>
    <col min="6" max="6" width="20" style="53" customWidth="1"/>
    <col min="7" max="7" width="32" style="53" customWidth="1"/>
    <col min="8" max="8" width="24" style="53" customWidth="1"/>
    <col min="9" max="9" width="74" style="54" customWidth="1"/>
    <col min="10" max="11" width="42" style="53" customWidth="1"/>
    <col min="12" max="12" width="30" style="53" customWidth="1"/>
    <col min="13" max="13" width="54" style="54" customWidth="1"/>
    <col min="14" max="14" width="20" style="53" customWidth="1"/>
  </cols>
  <sheetData>
    <row r="1" ht="28" customHeight="1" spans="1:14" x14ac:dyDescent="0.25">
      <c r="A1" s="55" t="s">
        <v>28</v>
      </c>
      <c r="B1" s="55"/>
      <c r="C1" s="55"/>
      <c r="D1" s="55"/>
      <c r="E1" s="55"/>
      <c r="F1" s="55"/>
      <c r="G1" s="55"/>
      <c r="H1" s="55"/>
      <c r="I1" s="55"/>
      <c r="J1" s="55"/>
      <c r="K1" s="55"/>
      <c r="L1" s="55"/>
      <c r="M1" s="55"/>
      <c r="N1" s="55"/>
    </row>
    <row r="2" ht="22" customHeight="1" spans="1:14" x14ac:dyDescent="0.25">
      <c r="A2" s="56" t="s">
        <v>192</v>
      </c>
      <c r="B2" s="56"/>
      <c r="C2" s="56"/>
      <c r="D2" s="56"/>
      <c r="E2" s="56"/>
      <c r="F2" s="56"/>
      <c r="G2" s="56"/>
      <c r="H2" s="56"/>
      <c r="I2" s="56"/>
      <c r="J2" s="56"/>
      <c r="K2" s="56"/>
      <c r="L2" s="56"/>
      <c r="M2" s="56"/>
      <c r="N2" s="56"/>
    </row>
    <row r="3" ht="20" customHeight="1" spans="1:14" x14ac:dyDescent="0.25">
      <c r="A3" s="57" t="s">
        <v>193</v>
      </c>
      <c r="B3" s="57"/>
      <c r="C3" s="57"/>
      <c r="D3" s="57"/>
      <c r="E3" s="57"/>
      <c r="F3" s="57"/>
      <c r="G3" s="57"/>
      <c r="H3" s="57"/>
      <c r="I3" s="57"/>
      <c r="J3" s="57"/>
      <c r="K3" s="57"/>
      <c r="L3" s="57"/>
      <c r="M3" s="57"/>
      <c r="N3" s="57"/>
    </row>
    <row r="4" ht="20" customHeight="1" spans="1:14" x14ac:dyDescent="0.25">
      <c r="A4" s="12" t="s">
        <v>61</v>
      </c>
      <c r="B4" s="12"/>
      <c r="C4" s="12" t="s">
        <v>194</v>
      </c>
      <c r="D4" s="12"/>
      <c r="E4" s="12" t="s">
        <v>195</v>
      </c>
      <c r="F4" s="12"/>
      <c r="G4" s="12" t="s">
        <v>196</v>
      </c>
      <c r="H4" s="12"/>
      <c r="I4" s="12" t="s">
        <v>43</v>
      </c>
      <c r="J4" s="12"/>
      <c r="K4" s="12" t="s">
        <v>48</v>
      </c>
      <c r="L4" s="12"/>
      <c r="M4" s="12" t="s">
        <v>63</v>
      </c>
      <c r="N4" s="12"/>
    </row>
    <row r="5" ht="20" customHeight="1" spans="1:14" x14ac:dyDescent="0.25">
      <c r="A5" s="4" t="s">
        <v>197</v>
      </c>
      <c r="B5" s="4"/>
      <c r="C5" s="4"/>
      <c r="D5" s="4"/>
      <c r="E5" s="4"/>
      <c r="F5" s="4"/>
      <c r="G5" s="4"/>
      <c r="H5" s="4"/>
      <c r="I5" s="4"/>
      <c r="J5" s="4"/>
      <c r="K5" s="4"/>
      <c r="L5" s="4"/>
      <c r="M5" s="4"/>
      <c r="N5" s="4"/>
    </row>
    <row r="6" ht="18" customHeight="1" spans="1:14" x14ac:dyDescent="0.25">
      <c r="A6" s="58" t="s">
        <v>198</v>
      </c>
      <c r="B6" s="58"/>
      <c r="C6" s="59" t="s">
        <v>199</v>
      </c>
      <c r="D6" s="59"/>
      <c r="E6" s="60" t="s">
        <v>200</v>
      </c>
      <c r="F6" s="60"/>
      <c r="G6" s="61" t="s">
        <v>201</v>
      </c>
      <c r="H6" s="61"/>
      <c r="I6" s="62"/>
      <c r="J6" s="63"/>
      <c r="K6" s="63"/>
      <c r="L6" s="63"/>
      <c r="M6" s="62"/>
      <c r="N6" s="63"/>
    </row>
    <row r="7" ht="22" customHeight="1" spans="1:14" x14ac:dyDescent="0.25">
      <c r="A7" s="64" t="s">
        <v>202</v>
      </c>
      <c r="B7" s="64"/>
      <c r="C7" s="64"/>
      <c r="D7" s="64"/>
      <c r="E7" s="64"/>
      <c r="F7" s="64"/>
      <c r="G7" s="64"/>
      <c r="H7" s="64"/>
      <c r="I7" s="64"/>
      <c r="J7" s="64"/>
      <c r="K7" s="64"/>
      <c r="L7" s="64"/>
      <c r="M7" s="64"/>
      <c r="N7" s="64"/>
    </row>
    <row r="8" spans="1:14" x14ac:dyDescent="0.25">
      <c r="A8" s="65" t="s">
        <v>203</v>
      </c>
      <c r="B8" s="65" t="s">
        <v>204</v>
      </c>
      <c r="C8" s="65" t="s">
        <v>205</v>
      </c>
      <c r="D8" s="65" t="s">
        <v>206</v>
      </c>
      <c r="E8" s="65" t="s">
        <v>207</v>
      </c>
      <c r="F8" s="66" t="s">
        <v>208</v>
      </c>
      <c r="G8" s="66" t="s">
        <v>209</v>
      </c>
      <c r="H8" s="65" t="s">
        <v>210</v>
      </c>
      <c r="I8" s="65" t="s">
        <v>211</v>
      </c>
      <c r="J8" s="65" t="s">
        <v>212</v>
      </c>
      <c r="K8" s="65" t="s">
        <v>213</v>
      </c>
      <c r="L8" s="65" t="s">
        <v>214</v>
      </c>
      <c r="M8" s="65" t="s">
        <v>215</v>
      </c>
      <c r="N8" s="67" t="s">
        <v>216</v>
      </c>
    </row>
    <row r="9" ht="50" customHeight="1" spans="1:14" x14ac:dyDescent="0.25">
      <c r="A9" s="68" t="s">
        <v>217</v>
      </c>
      <c r="B9" s="68" t="s">
        <v>218</v>
      </c>
      <c r="C9" s="69" t="s">
        <v>219</v>
      </c>
      <c r="D9" s="70" t="s">
        <v>109</v>
      </c>
      <c r="E9" s="69" t="s">
        <v>220</v>
      </c>
      <c r="F9" s="68" t="s">
        <v>147</v>
      </c>
      <c r="G9" s="68" t="s">
        <v>221</v>
      </c>
      <c r="H9" s="68" t="s">
        <v>222</v>
      </c>
      <c r="I9" s="69" t="s">
        <v>223</v>
      </c>
      <c r="J9" s="68" t="s">
        <v>224</v>
      </c>
      <c r="K9" s="68" t="s">
        <v>225</v>
      </c>
      <c r="L9" s="68" t="s">
        <v>226</v>
      </c>
      <c r="M9" s="69" t="s">
        <v>227</v>
      </c>
      <c r="N9" s="71" t="s">
        <v>228</v>
      </c>
    </row>
    <row r="10" spans="1:14" x14ac:dyDescent="0.25">
      <c r="A10" s="72"/>
      <c r="B10" s="72"/>
      <c r="C10" s="73"/>
      <c r="D10" s="72"/>
      <c r="E10" s="73"/>
      <c r="F10" s="72"/>
      <c r="G10" s="72"/>
      <c r="H10" s="72"/>
      <c r="I10" s="73"/>
      <c r="J10" s="72"/>
      <c r="K10" s="72"/>
      <c r="L10" s="72"/>
      <c r="M10" s="73"/>
      <c r="N10" s="74"/>
    </row>
    <row r="11" spans="1:14" x14ac:dyDescent="0.25">
      <c r="A11" s="68"/>
      <c r="B11" s="68"/>
      <c r="C11" s="69"/>
      <c r="D11" s="68"/>
      <c r="E11" s="69"/>
      <c r="F11" s="68"/>
      <c r="G11" s="68"/>
      <c r="H11" s="68"/>
      <c r="I11" s="69"/>
      <c r="J11" s="68"/>
      <c r="K11" s="68"/>
      <c r="L11" s="68"/>
      <c r="M11" s="69"/>
      <c r="N11" s="74"/>
    </row>
    <row r="12" spans="1:14" x14ac:dyDescent="0.25">
      <c r="A12" s="72"/>
      <c r="B12" s="72"/>
      <c r="C12" s="73"/>
      <c r="D12" s="72"/>
      <c r="E12" s="73"/>
      <c r="F12" s="72"/>
      <c r="G12" s="72"/>
      <c r="H12" s="72"/>
      <c r="I12" s="73"/>
      <c r="J12" s="72"/>
      <c r="K12" s="72"/>
      <c r="L12" s="72"/>
      <c r="M12" s="73"/>
      <c r="N12" s="74"/>
    </row>
    <row r="13" spans="1:14" x14ac:dyDescent="0.25">
      <c r="A13" s="68"/>
      <c r="B13" s="68"/>
      <c r="C13" s="69"/>
      <c r="D13" s="68"/>
      <c r="E13" s="69"/>
      <c r="F13" s="68"/>
      <c r="G13" s="68"/>
      <c r="H13" s="68"/>
      <c r="I13" s="69"/>
      <c r="J13" s="68"/>
      <c r="K13" s="68"/>
      <c r="L13" s="68"/>
      <c r="M13" s="69"/>
      <c r="N13" s="74"/>
    </row>
    <row r="14" spans="1:14" x14ac:dyDescent="0.25">
      <c r="A14" s="63"/>
      <c r="B14" s="63"/>
      <c r="C14" s="62"/>
      <c r="D14" s="63"/>
      <c r="E14" s="62"/>
      <c r="F14" s="63"/>
      <c r="G14" s="63"/>
      <c r="H14" s="63"/>
      <c r="I14" s="62"/>
      <c r="J14" s="63"/>
      <c r="K14" s="63"/>
      <c r="L14" s="63"/>
      <c r="M14" s="62"/>
      <c r="N14" s="63"/>
    </row>
    <row r="15" spans="1:14" x14ac:dyDescent="0.25">
      <c r="A15" s="63"/>
      <c r="B15" s="63"/>
      <c r="C15" s="62"/>
      <c r="D15" s="63"/>
      <c r="E15" s="62"/>
      <c r="F15" s="63"/>
      <c r="G15" s="63"/>
      <c r="H15" s="63"/>
      <c r="I15" s="62"/>
      <c r="J15" s="63"/>
      <c r="K15" s="63"/>
      <c r="L15" s="63"/>
      <c r="M15" s="62"/>
      <c r="N15" s="63"/>
    </row>
    <row r="16" spans="1:14" x14ac:dyDescent="0.25">
      <c r="A16" s="63"/>
      <c r="B16" s="63"/>
      <c r="C16" s="62"/>
      <c r="D16" s="63"/>
      <c r="E16" s="62"/>
      <c r="F16" s="63"/>
      <c r="G16" s="63"/>
      <c r="H16" s="63"/>
      <c r="I16" s="62"/>
      <c r="J16" s="63"/>
      <c r="K16" s="63"/>
      <c r="L16" s="63"/>
      <c r="M16" s="62"/>
      <c r="N16" s="63"/>
    </row>
    <row r="17" spans="1:14" x14ac:dyDescent="0.25">
      <c r="A17" s="63"/>
      <c r="B17" s="63"/>
      <c r="C17" s="62"/>
      <c r="D17" s="63"/>
      <c r="E17" s="62"/>
      <c r="F17" s="63"/>
      <c r="G17" s="63"/>
      <c r="H17" s="63"/>
      <c r="I17" s="62"/>
      <c r="J17" s="63"/>
      <c r="K17" s="63"/>
      <c r="L17" s="63"/>
      <c r="M17" s="62"/>
      <c r="N17" s="63"/>
    </row>
    <row r="18" spans="1:14" x14ac:dyDescent="0.25">
      <c r="A18" s="63"/>
      <c r="B18" s="63"/>
      <c r="C18" s="62"/>
      <c r="D18" s="63"/>
      <c r="E18" s="62"/>
      <c r="F18" s="63"/>
      <c r="G18" s="63"/>
      <c r="H18" s="63"/>
      <c r="I18" s="62"/>
      <c r="J18" s="63"/>
      <c r="K18" s="63"/>
      <c r="L18" s="63"/>
      <c r="M18" s="62"/>
      <c r="N18" s="63"/>
    </row>
    <row r="19" spans="1:14" x14ac:dyDescent="0.25">
      <c r="A19" s="63"/>
      <c r="B19" s="63"/>
      <c r="C19" s="62"/>
      <c r="D19" s="63"/>
      <c r="E19" s="62"/>
      <c r="F19" s="63"/>
      <c r="G19" s="63"/>
      <c r="H19" s="63"/>
      <c r="I19" s="62"/>
      <c r="J19" s="63"/>
      <c r="K19" s="63"/>
      <c r="L19" s="63"/>
      <c r="M19" s="62"/>
      <c r="N19" s="63"/>
    </row>
    <row r="20" spans="1:14" x14ac:dyDescent="0.25">
      <c r="A20" s="63"/>
      <c r="B20" s="63"/>
      <c r="C20" s="62"/>
      <c r="D20" s="63"/>
      <c r="E20" s="62"/>
      <c r="F20" s="63"/>
      <c r="G20" s="63"/>
      <c r="H20" s="63"/>
      <c r="I20" s="62"/>
      <c r="J20" s="63"/>
      <c r="K20" s="63"/>
      <c r="L20" s="63"/>
      <c r="M20" s="62"/>
      <c r="N20" s="63"/>
    </row>
  </sheetData>
  <autoFilter ref="A8:N8"/>
  <mergeCells count="16">
    <mergeCell ref="A1:N1"/>
    <mergeCell ref="A2:N2"/>
    <mergeCell ref="A3:N3"/>
    <mergeCell ref="A4:B4"/>
    <mergeCell ref="C4:D4"/>
    <mergeCell ref="E4:F4"/>
    <mergeCell ref="G4:H4"/>
    <mergeCell ref="I4:J4"/>
    <mergeCell ref="K4:L4"/>
    <mergeCell ref="M4:N4"/>
    <mergeCell ref="A5:N5"/>
    <mergeCell ref="A6:B6"/>
    <mergeCell ref="C6:D6"/>
    <mergeCell ref="E6:F6"/>
    <mergeCell ref="G6:H6"/>
    <mergeCell ref="A7:N7"/>
  </mergeCells>
  <dataValidations count="4">
    <dataValidation type="list" allowBlank="1" sqref="D10:D13">
      <formula1>'_LOOKUPS'!$N$2:$N$51</formula1>
    </dataValidation>
    <dataValidation type="list" allowBlank="1" sqref="D9:D13">
      <formula1>'_LOOKUPS'!$N$2:$N$51</formula1>
    </dataValidation>
    <dataValidation type="list" allowBlank="1" sqref="F10:F13">
      <formula1>'_LOOKUPS'!$M$2:$M$8</formula1>
    </dataValidation>
    <dataValidation type="list" allowBlank="1" sqref="F9:F13">
      <formula1>'_LOOKUPS'!$M$2:$M$8</formula1>
    </dataValidation>
  </dataValidations>
  <hyperlinks>
    <hyperlink ref="A4" r:id="rId1" tooltip="Back to HOME -&gt; HOME" location="#'HOME'!A1"/>
    <hyperlink ref="C4" r:id="rId2" tooltip="Guide -&gt; README" location="#'README'!A1"/>
    <hyperlink ref="E4" r:id="rId3" tooltip="Prev: Workbook Guide -&gt; README" location="#'README'!A1"/>
    <hyperlink ref="G4" r:id="rId4" tooltip="Next: Hero -&gt; HERO" location="#'HERO'!A1"/>
    <hyperlink ref="I4" r:id="rId5" tooltip="About Bio -&gt; ABOUT_BIO" location="#'ABOUT_BIO'!A8"/>
    <hyperlink ref="K4" r:id="rId6" tooltip="About Stats -&gt; ABOUT_STATS" location="#'ABOUT_STATS'!A8"/>
    <hyperlink ref="M4" r:id="rId7" tooltip="Assets -&gt; ASSETS" location="#'ASSETS'!A8"/>
    <hyperlink ref="D9" r:id="rId8" tooltip="profile-avatar -&gt; ASSETS" location="#'ASSETS'!A9"/>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J20"/>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28" style="53" customWidth="1"/>
    <col min="2" max="3" width="18" style="53" customWidth="1"/>
    <col min="4" max="4" width="22" style="53" customWidth="1"/>
    <col min="5" max="5" width="76" style="54" customWidth="1"/>
    <col min="6" max="8" width="24" style="53" customWidth="1"/>
    <col min="9" max="9" width="28" style="53" customWidth="1"/>
    <col min="10" max="10" width="20" style="53" customWidth="1"/>
  </cols>
  <sheetData>
    <row r="1" ht="28" customHeight="1" spans="1:10" x14ac:dyDescent="0.25">
      <c r="A1" s="55" t="s">
        <v>78</v>
      </c>
      <c r="B1" s="55"/>
      <c r="C1" s="55"/>
      <c r="D1" s="55"/>
      <c r="E1" s="55"/>
      <c r="F1" s="55"/>
      <c r="G1" s="55"/>
      <c r="H1" s="55"/>
      <c r="I1" s="55"/>
      <c r="J1" s="55"/>
    </row>
    <row r="2" ht="22" customHeight="1" spans="1:10" x14ac:dyDescent="0.25">
      <c r="A2" s="56" t="s">
        <v>229</v>
      </c>
      <c r="B2" s="56"/>
      <c r="C2" s="56"/>
      <c r="D2" s="56"/>
      <c r="E2" s="56"/>
      <c r="F2" s="56"/>
      <c r="G2" s="56"/>
      <c r="H2" s="56"/>
      <c r="I2" s="56"/>
      <c r="J2" s="56"/>
    </row>
    <row r="3" ht="20" customHeight="1" spans="1:10" x14ac:dyDescent="0.25">
      <c r="A3" s="57" t="s">
        <v>193</v>
      </c>
      <c r="B3" s="57"/>
      <c r="C3" s="57"/>
      <c r="D3" s="57"/>
      <c r="E3" s="57"/>
      <c r="F3" s="57"/>
      <c r="G3" s="57"/>
      <c r="H3" s="57"/>
      <c r="I3" s="57"/>
      <c r="J3" s="57"/>
    </row>
    <row r="4" ht="20" customHeight="1" spans="1:10" x14ac:dyDescent="0.25">
      <c r="A4" s="12" t="s">
        <v>61</v>
      </c>
      <c r="B4" s="12"/>
      <c r="C4" s="12" t="s">
        <v>194</v>
      </c>
      <c r="D4" s="12"/>
      <c r="E4" s="12" t="s">
        <v>230</v>
      </c>
      <c r="F4" s="12"/>
      <c r="G4" s="12" t="s">
        <v>231</v>
      </c>
      <c r="H4" s="12"/>
      <c r="I4" s="12" t="s">
        <v>53</v>
      </c>
      <c r="J4" s="12"/>
    </row>
    <row r="5" ht="20" customHeight="1" spans="1:10" x14ac:dyDescent="0.25">
      <c r="A5" s="12" t="s">
        <v>47</v>
      </c>
      <c r="B5" s="12"/>
      <c r="C5" s="63"/>
      <c r="D5" s="63"/>
      <c r="E5" s="62"/>
      <c r="F5" s="63"/>
      <c r="G5" s="63"/>
      <c r="H5" s="63"/>
      <c r="I5" s="63"/>
      <c r="J5" s="63"/>
    </row>
    <row r="6" ht="18" customHeight="1" spans="1:10" x14ac:dyDescent="0.25">
      <c r="A6" s="58" t="s">
        <v>198</v>
      </c>
      <c r="B6" s="59" t="s">
        <v>199</v>
      </c>
      <c r="C6" s="60" t="s">
        <v>200</v>
      </c>
      <c r="D6" s="61" t="s">
        <v>201</v>
      </c>
      <c r="E6" s="62"/>
      <c r="F6" s="63"/>
      <c r="G6" s="63"/>
      <c r="H6" s="63"/>
      <c r="I6" s="63"/>
      <c r="J6" s="63"/>
    </row>
    <row r="7" ht="22" customHeight="1" spans="1:10" x14ac:dyDescent="0.25">
      <c r="A7" s="64" t="s">
        <v>202</v>
      </c>
      <c r="B7" s="64"/>
      <c r="C7" s="64"/>
      <c r="D7" s="64"/>
      <c r="E7" s="64"/>
      <c r="F7" s="64"/>
      <c r="G7" s="64"/>
      <c r="H7" s="64"/>
      <c r="I7" s="64"/>
      <c r="J7" s="64"/>
    </row>
    <row r="8" spans="1:10" x14ac:dyDescent="0.25">
      <c r="A8" s="65" t="s">
        <v>232</v>
      </c>
      <c r="B8" s="65" t="s">
        <v>233</v>
      </c>
      <c r="C8" s="65" t="s">
        <v>234</v>
      </c>
      <c r="D8" s="65" t="s">
        <v>235</v>
      </c>
      <c r="E8" s="65" t="s">
        <v>236</v>
      </c>
      <c r="F8" s="65" t="s">
        <v>237</v>
      </c>
      <c r="G8" s="65" t="s">
        <v>238</v>
      </c>
      <c r="H8" s="65" t="s">
        <v>239</v>
      </c>
      <c r="I8" s="65" t="s">
        <v>240</v>
      </c>
      <c r="J8" s="67" t="s">
        <v>216</v>
      </c>
    </row>
    <row r="9" ht="50" customHeight="1" spans="1:10" x14ac:dyDescent="0.25">
      <c r="A9" s="68" t="s">
        <v>241</v>
      </c>
      <c r="B9" s="68" t="s">
        <v>242</v>
      </c>
      <c r="C9" s="68" t="s">
        <v>243</v>
      </c>
      <c r="D9" s="68" t="s">
        <v>244</v>
      </c>
      <c r="E9" s="69" t="s">
        <v>245</v>
      </c>
      <c r="F9" s="68" t="s">
        <v>246</v>
      </c>
      <c r="G9" s="68" t="s">
        <v>247</v>
      </c>
      <c r="H9" s="68" t="s">
        <v>248</v>
      </c>
      <c r="I9" s="68" t="s">
        <v>249</v>
      </c>
      <c r="J9" s="71" t="s">
        <v>228</v>
      </c>
    </row>
    <row r="10" spans="1:10" x14ac:dyDescent="0.25">
      <c r="A10" s="72"/>
      <c r="B10" s="72"/>
      <c r="C10" s="72"/>
      <c r="D10" s="72"/>
      <c r="E10" s="73"/>
      <c r="F10" s="72"/>
      <c r="G10" s="72"/>
      <c r="H10" s="72"/>
      <c r="I10" s="72"/>
      <c r="J10" s="74"/>
    </row>
    <row r="11" spans="1:10" x14ac:dyDescent="0.25">
      <c r="A11" s="68"/>
      <c r="B11" s="68"/>
      <c r="C11" s="68"/>
      <c r="D11" s="68"/>
      <c r="E11" s="69"/>
      <c r="F11" s="68"/>
      <c r="G11" s="68"/>
      <c r="H11" s="68"/>
      <c r="I11" s="68"/>
      <c r="J11" s="74"/>
    </row>
    <row r="12" spans="1:10" x14ac:dyDescent="0.25">
      <c r="A12" s="72"/>
      <c r="B12" s="72"/>
      <c r="C12" s="72"/>
      <c r="D12" s="72"/>
      <c r="E12" s="73"/>
      <c r="F12" s="72"/>
      <c r="G12" s="72"/>
      <c r="H12" s="72"/>
      <c r="I12" s="72"/>
      <c r="J12" s="74"/>
    </row>
    <row r="13" spans="1:10" x14ac:dyDescent="0.25">
      <c r="A13" s="68"/>
      <c r="B13" s="68"/>
      <c r="C13" s="68"/>
      <c r="D13" s="68"/>
      <c r="E13" s="69"/>
      <c r="F13" s="68"/>
      <c r="G13" s="68"/>
      <c r="H13" s="68"/>
      <c r="I13" s="68"/>
      <c r="J13" s="74"/>
    </row>
    <row r="14" spans="1:10" x14ac:dyDescent="0.25">
      <c r="A14" s="63"/>
      <c r="B14" s="63"/>
      <c r="C14" s="63"/>
      <c r="D14" s="63"/>
      <c r="E14" s="62"/>
      <c r="F14" s="63"/>
      <c r="G14" s="63"/>
      <c r="H14" s="63"/>
      <c r="I14" s="63"/>
      <c r="J14" s="63"/>
    </row>
    <row r="15" spans="1:10" x14ac:dyDescent="0.25">
      <c r="A15" s="63"/>
      <c r="B15" s="63"/>
      <c r="C15" s="63"/>
      <c r="D15" s="63"/>
      <c r="E15" s="62"/>
      <c r="F15" s="63"/>
      <c r="G15" s="63"/>
      <c r="H15" s="63"/>
      <c r="I15" s="63"/>
      <c r="J15" s="63"/>
    </row>
    <row r="16" spans="1:10" x14ac:dyDescent="0.25">
      <c r="A16" s="63"/>
      <c r="B16" s="63"/>
      <c r="C16" s="63"/>
      <c r="D16" s="63"/>
      <c r="E16" s="62"/>
      <c r="F16" s="63"/>
      <c r="G16" s="63"/>
      <c r="H16" s="63"/>
      <c r="I16" s="63"/>
      <c r="J16" s="63"/>
    </row>
    <row r="17" spans="1:10" x14ac:dyDescent="0.25">
      <c r="A17" s="63"/>
      <c r="B17" s="63"/>
      <c r="C17" s="63"/>
      <c r="D17" s="63"/>
      <c r="E17" s="62"/>
      <c r="F17" s="63"/>
      <c r="G17" s="63"/>
      <c r="H17" s="63"/>
      <c r="I17" s="63"/>
      <c r="J17" s="63"/>
    </row>
    <row r="18" spans="1:10" x14ac:dyDescent="0.25">
      <c r="A18" s="63"/>
      <c r="B18" s="63"/>
      <c r="C18" s="63"/>
      <c r="D18" s="63"/>
      <c r="E18" s="62"/>
      <c r="F18" s="63"/>
      <c r="G18" s="63"/>
      <c r="H18" s="63"/>
      <c r="I18" s="63"/>
      <c r="J18" s="63"/>
    </row>
    <row r="19" spans="1:10" x14ac:dyDescent="0.25">
      <c r="A19" s="63"/>
      <c r="B19" s="63"/>
      <c r="C19" s="63"/>
      <c r="D19" s="63"/>
      <c r="E19" s="62"/>
      <c r="F19" s="63"/>
      <c r="G19" s="63"/>
      <c r="H19" s="63"/>
      <c r="I19" s="63"/>
      <c r="J19" s="63"/>
    </row>
    <row r="20" spans="1:10" x14ac:dyDescent="0.25">
      <c r="A20" s="63"/>
      <c r="B20" s="63"/>
      <c r="C20" s="63"/>
      <c r="D20" s="63"/>
      <c r="E20" s="62"/>
      <c r="F20" s="63"/>
      <c r="G20" s="63"/>
      <c r="H20" s="63"/>
      <c r="I20" s="63"/>
      <c r="J20" s="63"/>
    </row>
  </sheetData>
  <autoFilter ref="A8:J8"/>
  <mergeCells count="10">
    <mergeCell ref="A1:J1"/>
    <mergeCell ref="A2:J2"/>
    <mergeCell ref="A3:J3"/>
    <mergeCell ref="A4:B4"/>
    <mergeCell ref="C4:D4"/>
    <mergeCell ref="E4:F4"/>
    <mergeCell ref="G4:H4"/>
    <mergeCell ref="I4:J4"/>
    <mergeCell ref="A5:B5"/>
    <mergeCell ref="A7:J7"/>
  </mergeCells>
  <hyperlinks>
    <hyperlink ref="A4" r:id="rId1" tooltip="Back to HOME -&gt; HOME" location="#'HOME'!A1"/>
    <hyperlink ref="C4" r:id="rId2" tooltip="Guide -&gt; README" location="#'README'!A1"/>
    <hyperlink ref="E4" r:id="rId3" tooltip="Prev: Profile -&gt; PROFILE" location="#'PROFILE'!A1"/>
    <hyperlink ref="G4" r:id="rId4" tooltip="Next: Projects -&gt; PROJECTS" location="#'PROJECTS'!A1"/>
    <hyperlink ref="I4" r:id="rId5" tooltip="Hero Metadata -&gt; HERO_METADATA" location="#'HERO_METADATA'!A8"/>
    <hyperlink ref="A5" r:id="rId6" tooltip="Navigation -&gt; NAVIGATION" location="#'NAVIGATION'!A8"/>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6B6D4"/>
  </sheetPr>
  <dimension ref="A1:V30"/>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10" style="53" customWidth="1"/>
    <col min="2" max="2" width="28" style="53" customWidth="1"/>
    <col min="3" max="3" width="34" style="53" customWidth="1"/>
    <col min="4" max="5" width="72" style="54" customWidth="1"/>
    <col min="6" max="8" width="44" style="53" customWidth="1"/>
    <col min="9" max="9" width="22" style="53" customWidth="1"/>
    <col min="10" max="10" width="18" style="53" customWidth="1"/>
    <col min="11" max="11" width="28" style="53" customWidth="1"/>
    <col min="12" max="12" width="60" style="54" customWidth="1"/>
    <col min="13" max="13" width="52" style="53" customWidth="1"/>
    <col min="14" max="14" width="16" style="53" customWidth="1"/>
    <col min="15" max="17" width="24" style="53" customWidth="1"/>
    <col min="18" max="19" width="14" style="53" customWidth="1"/>
    <col min="20" max="20" width="10" style="53" customWidth="1"/>
    <col min="21" max="21" width="12" style="53" customWidth="1"/>
    <col min="22" max="22" width="20" style="53" customWidth="1"/>
  </cols>
  <sheetData>
    <row r="1" ht="28" customHeight="1" spans="1:22" x14ac:dyDescent="0.25">
      <c r="A1" s="55" t="s">
        <v>29</v>
      </c>
      <c r="B1" s="55"/>
      <c r="C1" s="55"/>
      <c r="D1" s="55"/>
      <c r="E1" s="55"/>
      <c r="F1" s="55"/>
      <c r="G1" s="55"/>
      <c r="H1" s="55"/>
      <c r="I1" s="55"/>
      <c r="J1" s="55"/>
      <c r="K1" s="55"/>
      <c r="L1" s="55"/>
      <c r="M1" s="55"/>
      <c r="N1" s="55"/>
      <c r="O1" s="55"/>
      <c r="P1" s="55"/>
      <c r="Q1" s="55"/>
      <c r="R1" s="55"/>
      <c r="S1" s="55"/>
      <c r="T1" s="55"/>
      <c r="U1" s="55"/>
      <c r="V1" s="55"/>
    </row>
    <row r="2" ht="22" customHeight="1" spans="1:22" x14ac:dyDescent="0.25">
      <c r="A2" s="56" t="s">
        <v>250</v>
      </c>
      <c r="B2" s="56"/>
      <c r="C2" s="56"/>
      <c r="D2" s="56"/>
      <c r="E2" s="56"/>
      <c r="F2" s="56"/>
      <c r="G2" s="56"/>
      <c r="H2" s="56"/>
      <c r="I2" s="56"/>
      <c r="J2" s="56"/>
      <c r="K2" s="56"/>
      <c r="L2" s="56"/>
      <c r="M2" s="56"/>
      <c r="N2" s="56"/>
      <c r="O2" s="56"/>
      <c r="P2" s="56"/>
      <c r="Q2" s="56"/>
      <c r="R2" s="56"/>
      <c r="S2" s="56"/>
      <c r="T2" s="56"/>
      <c r="U2" s="56"/>
      <c r="V2" s="56"/>
    </row>
    <row r="3" ht="20" customHeight="1" spans="1:22" x14ac:dyDescent="0.25">
      <c r="A3" s="75" t="s">
        <v>193</v>
      </c>
      <c r="B3" s="75"/>
      <c r="C3" s="75"/>
      <c r="D3" s="75"/>
      <c r="E3" s="75"/>
      <c r="F3" s="75"/>
      <c r="G3" s="75"/>
      <c r="H3" s="75"/>
      <c r="I3" s="75"/>
      <c r="J3" s="75"/>
      <c r="K3" s="75"/>
      <c r="L3" s="75"/>
      <c r="M3" s="75"/>
      <c r="N3" s="75"/>
      <c r="O3" s="75"/>
      <c r="P3" s="75"/>
      <c r="Q3" s="75"/>
      <c r="R3" s="75"/>
      <c r="S3" s="75"/>
      <c r="T3" s="75"/>
      <c r="U3" s="75"/>
      <c r="V3" s="75"/>
    </row>
    <row r="4" ht="20" customHeight="1" spans="1:22" x14ac:dyDescent="0.25">
      <c r="A4" s="14" t="s">
        <v>61</v>
      </c>
      <c r="B4" s="14"/>
      <c r="C4" s="14" t="s">
        <v>194</v>
      </c>
      <c r="D4" s="14"/>
      <c r="E4" s="14" t="s">
        <v>251</v>
      </c>
      <c r="F4" s="14"/>
      <c r="G4" s="14" t="s">
        <v>252</v>
      </c>
      <c r="H4" s="14"/>
      <c r="I4" s="14" t="s">
        <v>55</v>
      </c>
      <c r="J4" s="14"/>
      <c r="K4" s="14" t="s">
        <v>57</v>
      </c>
      <c r="L4" s="14"/>
      <c r="M4" s="14" t="s">
        <v>63</v>
      </c>
      <c r="N4" s="14"/>
      <c r="O4" s="63"/>
      <c r="P4" s="63"/>
      <c r="Q4" s="63"/>
      <c r="R4" s="63"/>
      <c r="S4" s="63"/>
      <c r="T4" s="63"/>
      <c r="U4" s="63"/>
      <c r="V4" s="63"/>
    </row>
    <row r="5" ht="20" customHeight="1" spans="1:22" x14ac:dyDescent="0.25">
      <c r="A5" s="4" t="s">
        <v>197</v>
      </c>
      <c r="B5" s="4"/>
      <c r="C5" s="4"/>
      <c r="D5" s="4"/>
      <c r="E5" s="4"/>
      <c r="F5" s="4"/>
      <c r="G5" s="4"/>
      <c r="H5" s="4"/>
      <c r="I5" s="4"/>
      <c r="J5" s="4"/>
      <c r="K5" s="4"/>
      <c r="L5" s="4"/>
      <c r="M5" s="4"/>
      <c r="N5" s="4"/>
      <c r="O5" s="4"/>
      <c r="P5" s="4"/>
      <c r="Q5" s="4"/>
      <c r="R5" s="4"/>
      <c r="S5" s="4"/>
      <c r="T5" s="4"/>
      <c r="U5" s="4"/>
      <c r="V5" s="4"/>
    </row>
    <row r="6" ht="18" customHeight="1" spans="1:22" x14ac:dyDescent="0.25">
      <c r="A6" s="58" t="s">
        <v>198</v>
      </c>
      <c r="B6" s="58"/>
      <c r="C6" s="59" t="s">
        <v>199</v>
      </c>
      <c r="D6" s="59"/>
      <c r="E6" s="60" t="s">
        <v>200</v>
      </c>
      <c r="F6" s="60"/>
      <c r="G6" s="61" t="s">
        <v>201</v>
      </c>
      <c r="H6" s="61"/>
      <c r="I6" s="63"/>
      <c r="J6" s="63"/>
      <c r="K6" s="63"/>
      <c r="L6" s="62"/>
      <c r="M6" s="63"/>
      <c r="N6" s="63"/>
      <c r="O6" s="63"/>
      <c r="P6" s="63"/>
      <c r="Q6" s="63"/>
      <c r="R6" s="63"/>
      <c r="S6" s="63"/>
      <c r="T6" s="63"/>
      <c r="U6" s="63"/>
      <c r="V6" s="63"/>
    </row>
    <row r="7" ht="22" customHeight="1" spans="1:22" x14ac:dyDescent="0.25">
      <c r="A7" s="64" t="s">
        <v>202</v>
      </c>
      <c r="B7" s="64"/>
      <c r="C7" s="64"/>
      <c r="D7" s="64"/>
      <c r="E7" s="64"/>
      <c r="F7" s="64"/>
      <c r="G7" s="64"/>
      <c r="H7" s="64"/>
      <c r="I7" s="64"/>
      <c r="J7" s="64"/>
      <c r="K7" s="64"/>
      <c r="L7" s="64"/>
      <c r="M7" s="64"/>
      <c r="N7" s="64"/>
      <c r="O7" s="64"/>
      <c r="P7" s="64"/>
      <c r="Q7" s="64"/>
      <c r="R7" s="64"/>
      <c r="S7" s="64"/>
      <c r="T7" s="64"/>
      <c r="U7" s="64"/>
      <c r="V7" s="64"/>
    </row>
    <row r="8" spans="1:22" x14ac:dyDescent="0.25">
      <c r="A8" s="65" t="s">
        <v>253</v>
      </c>
      <c r="B8" s="65" t="s">
        <v>254</v>
      </c>
      <c r="C8" s="65" t="s">
        <v>255</v>
      </c>
      <c r="D8" s="65" t="s">
        <v>256</v>
      </c>
      <c r="E8" s="65" t="s">
        <v>257</v>
      </c>
      <c r="F8" s="66" t="s">
        <v>258</v>
      </c>
      <c r="G8" s="66" t="s">
        <v>259</v>
      </c>
      <c r="H8" s="66" t="s">
        <v>260</v>
      </c>
      <c r="I8" s="66" t="s">
        <v>261</v>
      </c>
      <c r="J8" s="66" t="s">
        <v>262</v>
      </c>
      <c r="K8" s="66" t="s">
        <v>263</v>
      </c>
      <c r="L8" s="66" t="s">
        <v>264</v>
      </c>
      <c r="M8" s="66" t="s">
        <v>265</v>
      </c>
      <c r="N8" s="65" t="s">
        <v>266</v>
      </c>
      <c r="O8" s="66" t="s">
        <v>267</v>
      </c>
      <c r="P8" s="66" t="s">
        <v>268</v>
      </c>
      <c r="Q8" s="66" t="s">
        <v>269</v>
      </c>
      <c r="R8" s="66" t="s">
        <v>270</v>
      </c>
      <c r="S8" s="66" t="s">
        <v>271</v>
      </c>
      <c r="T8" s="65" t="s">
        <v>272</v>
      </c>
      <c r="U8" s="65" t="s">
        <v>273</v>
      </c>
      <c r="V8" s="67" t="s">
        <v>216</v>
      </c>
    </row>
    <row r="9" ht="68" customHeight="1" spans="1:22" x14ac:dyDescent="0.25">
      <c r="A9" s="68">
        <v>1</v>
      </c>
      <c r="B9" s="68" t="s">
        <v>274</v>
      </c>
      <c r="C9" s="68" t="s">
        <v>275</v>
      </c>
      <c r="D9" s="69" t="s">
        <v>276</v>
      </c>
      <c r="E9" s="69" t="s">
        <v>277</v>
      </c>
      <c r="F9" s="68" t="s">
        <v>278</v>
      </c>
      <c r="G9" s="68" t="s">
        <v>279</v>
      </c>
      <c r="H9" s="68" t="s">
        <v>279</v>
      </c>
      <c r="I9" s="76" t="s">
        <v>112</v>
      </c>
      <c r="J9" s="68" t="s">
        <v>279</v>
      </c>
      <c r="K9" s="68" t="s">
        <v>279</v>
      </c>
      <c r="L9" s="69" t="s">
        <v>279</v>
      </c>
      <c r="M9" s="68" t="s">
        <v>279</v>
      </c>
      <c r="N9" s="68" t="s">
        <v>102</v>
      </c>
      <c r="O9" s="70" t="s">
        <v>121</v>
      </c>
      <c r="P9" s="70" t="s">
        <v>131</v>
      </c>
      <c r="Q9" s="70" t="s">
        <v>139</v>
      </c>
      <c r="R9" s="68" t="s">
        <v>279</v>
      </c>
      <c r="S9" s="68">
        <v>1.3</v>
      </c>
      <c r="T9" s="68">
        <v>2</v>
      </c>
      <c r="U9" s="76" t="s">
        <v>98</v>
      </c>
      <c r="V9" s="71" t="s">
        <v>228</v>
      </c>
    </row>
    <row r="10" ht="50" customHeight="1" spans="1:22" x14ac:dyDescent="0.25">
      <c r="A10" s="72">
        <v>2</v>
      </c>
      <c r="B10" s="72" t="s">
        <v>280</v>
      </c>
      <c r="C10" s="72" t="s">
        <v>281</v>
      </c>
      <c r="D10" s="73" t="s">
        <v>282</v>
      </c>
      <c r="E10" s="73" t="s">
        <v>283</v>
      </c>
      <c r="F10" s="72" t="s">
        <v>284</v>
      </c>
      <c r="G10" s="72" t="s">
        <v>279</v>
      </c>
      <c r="H10" s="72" t="s">
        <v>279</v>
      </c>
      <c r="I10" s="77" t="s">
        <v>112</v>
      </c>
      <c r="J10" s="72" t="s">
        <v>285</v>
      </c>
      <c r="K10" s="72" t="s">
        <v>279</v>
      </c>
      <c r="L10" s="73" t="s">
        <v>279</v>
      </c>
      <c r="M10" s="72" t="s">
        <v>279</v>
      </c>
      <c r="N10" s="72" t="s">
        <v>102</v>
      </c>
      <c r="O10" s="78" t="s">
        <v>143</v>
      </c>
      <c r="P10" s="78" t="s">
        <v>146</v>
      </c>
      <c r="Q10" s="78" t="s">
        <v>148</v>
      </c>
      <c r="R10" s="72" t="s">
        <v>103</v>
      </c>
      <c r="S10" s="72">
        <v>1.25</v>
      </c>
      <c r="T10" s="72">
        <v>4</v>
      </c>
      <c r="U10" s="77" t="s">
        <v>98</v>
      </c>
      <c r="V10" s="71" t="s">
        <v>228</v>
      </c>
    </row>
    <row r="11" ht="68" customHeight="1" spans="1:22" x14ac:dyDescent="0.25">
      <c r="A11" s="68">
        <v>3</v>
      </c>
      <c r="B11" s="68" t="s">
        <v>286</v>
      </c>
      <c r="C11" s="68" t="s">
        <v>287</v>
      </c>
      <c r="D11" s="69" t="s">
        <v>288</v>
      </c>
      <c r="E11" s="69" t="s">
        <v>289</v>
      </c>
      <c r="F11" s="68" t="s">
        <v>290</v>
      </c>
      <c r="G11" s="68" t="s">
        <v>279</v>
      </c>
      <c r="H11" s="68" t="s">
        <v>279</v>
      </c>
      <c r="I11" s="76" t="s">
        <v>112</v>
      </c>
      <c r="J11" s="68" t="s">
        <v>279</v>
      </c>
      <c r="K11" s="68" t="s">
        <v>279</v>
      </c>
      <c r="L11" s="69" t="s">
        <v>279</v>
      </c>
      <c r="M11" s="68" t="s">
        <v>279</v>
      </c>
      <c r="N11" s="68" t="s">
        <v>102</v>
      </c>
      <c r="O11" s="70" t="s">
        <v>149</v>
      </c>
      <c r="P11" s="70" t="s">
        <v>150</v>
      </c>
      <c r="Q11" s="70" t="s">
        <v>151</v>
      </c>
      <c r="R11" s="68" t="s">
        <v>279</v>
      </c>
      <c r="S11" s="68" t="s">
        <v>279</v>
      </c>
      <c r="T11" s="68">
        <v>3</v>
      </c>
      <c r="U11" s="76" t="s">
        <v>98</v>
      </c>
      <c r="V11" s="71" t="s">
        <v>228</v>
      </c>
    </row>
    <row r="12" ht="50" customHeight="1" spans="1:22" x14ac:dyDescent="0.25">
      <c r="A12" s="72">
        <v>4</v>
      </c>
      <c r="B12" s="72" t="s">
        <v>291</v>
      </c>
      <c r="C12" s="72" t="s">
        <v>292</v>
      </c>
      <c r="D12" s="73" t="s">
        <v>293</v>
      </c>
      <c r="E12" s="73" t="s">
        <v>294</v>
      </c>
      <c r="F12" s="72" t="s">
        <v>295</v>
      </c>
      <c r="G12" s="72" t="s">
        <v>279</v>
      </c>
      <c r="H12" s="72" t="s">
        <v>279</v>
      </c>
      <c r="I12" s="77" t="s">
        <v>112</v>
      </c>
      <c r="J12" s="72" t="s">
        <v>279</v>
      </c>
      <c r="K12" s="72" t="s">
        <v>279</v>
      </c>
      <c r="L12" s="73" t="s">
        <v>279</v>
      </c>
      <c r="M12" s="72" t="s">
        <v>279</v>
      </c>
      <c r="N12" s="72" t="s">
        <v>102</v>
      </c>
      <c r="O12" s="78" t="s">
        <v>152</v>
      </c>
      <c r="P12" s="78" t="s">
        <v>153</v>
      </c>
      <c r="Q12" s="78" t="s">
        <v>154</v>
      </c>
      <c r="R12" s="72" t="s">
        <v>279</v>
      </c>
      <c r="S12" s="72">
        <v>1.3</v>
      </c>
      <c r="T12" s="72">
        <v>5</v>
      </c>
      <c r="U12" s="77" t="s">
        <v>98</v>
      </c>
      <c r="V12" s="71" t="s">
        <v>228</v>
      </c>
    </row>
    <row r="13" ht="68" customHeight="1" spans="1:22" x14ac:dyDescent="0.25">
      <c r="A13" s="68">
        <v>5</v>
      </c>
      <c r="B13" s="68" t="s">
        <v>296</v>
      </c>
      <c r="C13" s="68" t="s">
        <v>297</v>
      </c>
      <c r="D13" s="69" t="s">
        <v>298</v>
      </c>
      <c r="E13" s="69" t="s">
        <v>299</v>
      </c>
      <c r="F13" s="68" t="s">
        <v>300</v>
      </c>
      <c r="G13" s="68" t="s">
        <v>279</v>
      </c>
      <c r="H13" s="68" t="s">
        <v>279</v>
      </c>
      <c r="I13" s="76" t="s">
        <v>112</v>
      </c>
      <c r="J13" s="68" t="s">
        <v>301</v>
      </c>
      <c r="K13" s="68" t="s">
        <v>279</v>
      </c>
      <c r="L13" s="69" t="s">
        <v>279</v>
      </c>
      <c r="M13" s="68" t="s">
        <v>279</v>
      </c>
      <c r="N13" s="68" t="s">
        <v>102</v>
      </c>
      <c r="O13" s="70" t="s">
        <v>155</v>
      </c>
      <c r="P13" s="70" t="s">
        <v>156</v>
      </c>
      <c r="Q13" s="70" t="s">
        <v>157</v>
      </c>
      <c r="R13" s="68" t="s">
        <v>103</v>
      </c>
      <c r="S13" s="68" t="s">
        <v>279</v>
      </c>
      <c r="T13" s="68">
        <v>6</v>
      </c>
      <c r="U13" s="76" t="s">
        <v>98</v>
      </c>
      <c r="V13" s="71" t="s">
        <v>228</v>
      </c>
    </row>
    <row r="14" ht="68" customHeight="1" spans="1:22" x14ac:dyDescent="0.25">
      <c r="A14" s="72">
        <v>6</v>
      </c>
      <c r="B14" s="72" t="s">
        <v>302</v>
      </c>
      <c r="C14" s="72" t="s">
        <v>303</v>
      </c>
      <c r="D14" s="73" t="s">
        <v>304</v>
      </c>
      <c r="E14" s="73" t="s">
        <v>305</v>
      </c>
      <c r="F14" s="72" t="s">
        <v>306</v>
      </c>
      <c r="G14" s="72" t="s">
        <v>279</v>
      </c>
      <c r="H14" s="72" t="s">
        <v>279</v>
      </c>
      <c r="I14" s="77" t="s">
        <v>112</v>
      </c>
      <c r="J14" s="72" t="s">
        <v>301</v>
      </c>
      <c r="K14" s="72" t="s">
        <v>279</v>
      </c>
      <c r="L14" s="73" t="s">
        <v>279</v>
      </c>
      <c r="M14" s="72" t="s">
        <v>279</v>
      </c>
      <c r="N14" s="72" t="s">
        <v>102</v>
      </c>
      <c r="O14" s="78" t="s">
        <v>178</v>
      </c>
      <c r="P14" s="78" t="s">
        <v>179</v>
      </c>
      <c r="Q14" s="78" t="s">
        <v>180</v>
      </c>
      <c r="R14" s="72" t="s">
        <v>103</v>
      </c>
      <c r="S14" s="72">
        <v>1</v>
      </c>
      <c r="T14" s="72">
        <v>7</v>
      </c>
      <c r="U14" s="77" t="s">
        <v>98</v>
      </c>
      <c r="V14" s="71" t="s">
        <v>228</v>
      </c>
    </row>
    <row r="15" ht="68" customHeight="1" spans="1:22" x14ac:dyDescent="0.25">
      <c r="A15" s="68">
        <v>7</v>
      </c>
      <c r="B15" s="68" t="s">
        <v>307</v>
      </c>
      <c r="C15" s="68" t="s">
        <v>308</v>
      </c>
      <c r="D15" s="69" t="s">
        <v>309</v>
      </c>
      <c r="E15" s="69" t="s">
        <v>310</v>
      </c>
      <c r="F15" s="68" t="s">
        <v>279</v>
      </c>
      <c r="G15" s="68" t="s">
        <v>311</v>
      </c>
      <c r="H15" s="68" t="s">
        <v>279</v>
      </c>
      <c r="I15" s="76" t="s">
        <v>98</v>
      </c>
      <c r="J15" s="68" t="s">
        <v>312</v>
      </c>
      <c r="K15" s="68" t="s">
        <v>313</v>
      </c>
      <c r="L15" s="69" t="s">
        <v>314</v>
      </c>
      <c r="M15" s="68" t="s">
        <v>315</v>
      </c>
      <c r="N15" s="68" t="s">
        <v>102</v>
      </c>
      <c r="O15" s="70" t="s">
        <v>191</v>
      </c>
      <c r="P15" s="70" t="s">
        <v>181</v>
      </c>
      <c r="Q15" s="70" t="s">
        <v>182</v>
      </c>
      <c r="R15" s="68" t="s">
        <v>103</v>
      </c>
      <c r="S15" s="68">
        <v>1</v>
      </c>
      <c r="T15" s="68">
        <v>1</v>
      </c>
      <c r="U15" s="76" t="s">
        <v>98</v>
      </c>
      <c r="V15" s="71" t="s">
        <v>228</v>
      </c>
    </row>
    <row r="16" spans="1:22" x14ac:dyDescent="0.25">
      <c r="A16" s="72"/>
      <c r="B16" s="72"/>
      <c r="C16" s="72"/>
      <c r="D16" s="73"/>
      <c r="E16" s="73"/>
      <c r="F16" s="72"/>
      <c r="G16" s="72"/>
      <c r="H16" s="72"/>
      <c r="I16" s="77"/>
      <c r="J16" s="72"/>
      <c r="K16" s="72"/>
      <c r="L16" s="73"/>
      <c r="M16" s="72"/>
      <c r="N16" s="72"/>
      <c r="O16" s="72"/>
      <c r="P16" s="72"/>
      <c r="Q16" s="72"/>
      <c r="R16" s="72"/>
      <c r="S16" s="72"/>
      <c r="T16" s="72"/>
      <c r="U16" s="77"/>
      <c r="V16" s="74"/>
    </row>
    <row r="17" spans="1:22" x14ac:dyDescent="0.25">
      <c r="A17" s="68"/>
      <c r="B17" s="68"/>
      <c r="C17" s="68"/>
      <c r="D17" s="69"/>
      <c r="E17" s="69"/>
      <c r="F17" s="68"/>
      <c r="G17" s="68"/>
      <c r="H17" s="68"/>
      <c r="I17" s="76"/>
      <c r="J17" s="68"/>
      <c r="K17" s="68"/>
      <c r="L17" s="69"/>
      <c r="M17" s="68"/>
      <c r="N17" s="68"/>
      <c r="O17" s="68"/>
      <c r="P17" s="68"/>
      <c r="Q17" s="68"/>
      <c r="R17" s="68"/>
      <c r="S17" s="68"/>
      <c r="T17" s="68"/>
      <c r="U17" s="76"/>
      <c r="V17" s="74"/>
    </row>
    <row r="18" spans="1:22" x14ac:dyDescent="0.25">
      <c r="A18" s="72"/>
      <c r="B18" s="72"/>
      <c r="C18" s="72"/>
      <c r="D18" s="73"/>
      <c r="E18" s="73"/>
      <c r="F18" s="72"/>
      <c r="G18" s="72"/>
      <c r="H18" s="72"/>
      <c r="I18" s="77"/>
      <c r="J18" s="72"/>
      <c r="K18" s="72"/>
      <c r="L18" s="73"/>
      <c r="M18" s="72"/>
      <c r="N18" s="72"/>
      <c r="O18" s="72"/>
      <c r="P18" s="72"/>
      <c r="Q18" s="72"/>
      <c r="R18" s="72"/>
      <c r="S18" s="72"/>
      <c r="T18" s="72"/>
      <c r="U18" s="77"/>
      <c r="V18" s="74"/>
    </row>
    <row r="19" spans="1:22" x14ac:dyDescent="0.25">
      <c r="A19" s="68"/>
      <c r="B19" s="68"/>
      <c r="C19" s="68"/>
      <c r="D19" s="69"/>
      <c r="E19" s="69"/>
      <c r="F19" s="68"/>
      <c r="G19" s="68"/>
      <c r="H19" s="68"/>
      <c r="I19" s="76"/>
      <c r="J19" s="68"/>
      <c r="K19" s="68"/>
      <c r="L19" s="69"/>
      <c r="M19" s="68"/>
      <c r="N19" s="68"/>
      <c r="O19" s="68"/>
      <c r="P19" s="68"/>
      <c r="Q19" s="68"/>
      <c r="R19" s="68"/>
      <c r="S19" s="68"/>
      <c r="T19" s="68"/>
      <c r="U19" s="76"/>
      <c r="V19" s="74"/>
    </row>
    <row r="20" spans="1:22" x14ac:dyDescent="0.25">
      <c r="A20" s="72"/>
      <c r="B20" s="72"/>
      <c r="C20" s="72"/>
      <c r="D20" s="73"/>
      <c r="E20" s="73"/>
      <c r="F20" s="72"/>
      <c r="G20" s="72"/>
      <c r="H20" s="72"/>
      <c r="I20" s="77"/>
      <c r="J20" s="72"/>
      <c r="K20" s="72"/>
      <c r="L20" s="73"/>
      <c r="M20" s="72"/>
      <c r="N20" s="72"/>
      <c r="O20" s="72"/>
      <c r="P20" s="72"/>
      <c r="Q20" s="72"/>
      <c r="R20" s="72"/>
      <c r="S20" s="72"/>
      <c r="T20" s="72"/>
      <c r="U20" s="77"/>
      <c r="V20" s="74"/>
    </row>
    <row r="21" spans="1:22" x14ac:dyDescent="0.25">
      <c r="A21" s="68"/>
      <c r="B21" s="68"/>
      <c r="C21" s="68"/>
      <c r="D21" s="69"/>
      <c r="E21" s="69"/>
      <c r="F21" s="68"/>
      <c r="G21" s="68"/>
      <c r="H21" s="68"/>
      <c r="I21" s="76"/>
      <c r="J21" s="68"/>
      <c r="K21" s="68"/>
      <c r="L21" s="69"/>
      <c r="M21" s="68"/>
      <c r="N21" s="68"/>
      <c r="O21" s="68"/>
      <c r="P21" s="68"/>
      <c r="Q21" s="68"/>
      <c r="R21" s="68"/>
      <c r="S21" s="68"/>
      <c r="T21" s="68"/>
      <c r="U21" s="76"/>
      <c r="V21" s="74"/>
    </row>
    <row r="22" spans="1:22" x14ac:dyDescent="0.25">
      <c r="A22" s="72"/>
      <c r="B22" s="72"/>
      <c r="C22" s="72"/>
      <c r="D22" s="73"/>
      <c r="E22" s="73"/>
      <c r="F22" s="72"/>
      <c r="G22" s="72"/>
      <c r="H22" s="72"/>
      <c r="I22" s="77"/>
      <c r="J22" s="72"/>
      <c r="K22" s="72"/>
      <c r="L22" s="73"/>
      <c r="M22" s="72"/>
      <c r="N22" s="72"/>
      <c r="O22" s="72"/>
      <c r="P22" s="72"/>
      <c r="Q22" s="72"/>
      <c r="R22" s="72"/>
      <c r="S22" s="72"/>
      <c r="T22" s="72"/>
      <c r="U22" s="77"/>
      <c r="V22" s="74"/>
    </row>
    <row r="23" spans="1:22" x14ac:dyDescent="0.25">
      <c r="A23" s="68"/>
      <c r="B23" s="68"/>
      <c r="C23" s="68"/>
      <c r="D23" s="69"/>
      <c r="E23" s="69"/>
      <c r="F23" s="68"/>
      <c r="G23" s="68"/>
      <c r="H23" s="68"/>
      <c r="I23" s="76"/>
      <c r="J23" s="68"/>
      <c r="K23" s="68"/>
      <c r="L23" s="69"/>
      <c r="M23" s="68"/>
      <c r="N23" s="68"/>
      <c r="O23" s="68"/>
      <c r="P23" s="68"/>
      <c r="Q23" s="68"/>
      <c r="R23" s="68"/>
      <c r="S23" s="68"/>
      <c r="T23" s="68"/>
      <c r="U23" s="76"/>
      <c r="V23" s="74"/>
    </row>
    <row r="24" spans="1:22" x14ac:dyDescent="0.25">
      <c r="A24" s="72"/>
      <c r="B24" s="72"/>
      <c r="C24" s="72"/>
      <c r="D24" s="73"/>
      <c r="E24" s="73"/>
      <c r="F24" s="72"/>
      <c r="G24" s="72"/>
      <c r="H24" s="72"/>
      <c r="I24" s="77"/>
      <c r="J24" s="72"/>
      <c r="K24" s="72"/>
      <c r="L24" s="73"/>
      <c r="M24" s="72"/>
      <c r="N24" s="72"/>
      <c r="O24" s="72"/>
      <c r="P24" s="72"/>
      <c r="Q24" s="72"/>
      <c r="R24" s="72"/>
      <c r="S24" s="72"/>
      <c r="T24" s="72"/>
      <c r="U24" s="77"/>
      <c r="V24" s="74"/>
    </row>
    <row r="25" spans="1:22" x14ac:dyDescent="0.25">
      <c r="A25" s="68"/>
      <c r="B25" s="68"/>
      <c r="C25" s="68"/>
      <c r="D25" s="69"/>
      <c r="E25" s="69"/>
      <c r="F25" s="68"/>
      <c r="G25" s="68"/>
      <c r="H25" s="68"/>
      <c r="I25" s="76"/>
      <c r="J25" s="68"/>
      <c r="K25" s="68"/>
      <c r="L25" s="69"/>
      <c r="M25" s="68"/>
      <c r="N25" s="68"/>
      <c r="O25" s="68"/>
      <c r="P25" s="68"/>
      <c r="Q25" s="68"/>
      <c r="R25" s="68"/>
      <c r="S25" s="68"/>
      <c r="T25" s="68"/>
      <c r="U25" s="76"/>
      <c r="V25" s="74"/>
    </row>
    <row r="26" spans="1:22" x14ac:dyDescent="0.25">
      <c r="A26" s="63"/>
      <c r="B26" s="63"/>
      <c r="C26" s="63"/>
      <c r="D26" s="62"/>
      <c r="E26" s="62"/>
      <c r="F26" s="63"/>
      <c r="G26" s="63"/>
      <c r="H26" s="63"/>
      <c r="I26" s="63"/>
      <c r="J26" s="63"/>
      <c r="K26" s="63"/>
      <c r="L26" s="62"/>
      <c r="M26" s="63"/>
      <c r="N26" s="63"/>
      <c r="O26" s="63"/>
      <c r="P26" s="63"/>
      <c r="Q26" s="63"/>
      <c r="R26" s="63"/>
      <c r="S26" s="63"/>
      <c r="T26" s="63"/>
      <c r="U26" s="63"/>
      <c r="V26" s="63"/>
    </row>
    <row r="27" spans="1:22" x14ac:dyDescent="0.25">
      <c r="A27" s="63"/>
      <c r="B27" s="63"/>
      <c r="C27" s="63"/>
      <c r="D27" s="62"/>
      <c r="E27" s="62"/>
      <c r="F27" s="63"/>
      <c r="G27" s="63"/>
      <c r="H27" s="63"/>
      <c r="I27" s="63"/>
      <c r="J27" s="63"/>
      <c r="K27" s="63"/>
      <c r="L27" s="62"/>
      <c r="M27" s="63"/>
      <c r="N27" s="63"/>
      <c r="O27" s="63"/>
      <c r="P27" s="63"/>
      <c r="Q27" s="63"/>
      <c r="R27" s="63"/>
      <c r="S27" s="63"/>
      <c r="T27" s="63"/>
      <c r="U27" s="63"/>
      <c r="V27" s="63"/>
    </row>
    <row r="28" spans="1:22" x14ac:dyDescent="0.25">
      <c r="A28" s="63"/>
      <c r="B28" s="63"/>
      <c r="C28" s="63"/>
      <c r="D28" s="62"/>
      <c r="E28" s="62"/>
      <c r="F28" s="63"/>
      <c r="G28" s="63"/>
      <c r="H28" s="63"/>
      <c r="I28" s="63"/>
      <c r="J28" s="63"/>
      <c r="K28" s="63"/>
      <c r="L28" s="62"/>
      <c r="M28" s="63"/>
      <c r="N28" s="63"/>
      <c r="O28" s="63"/>
      <c r="P28" s="63"/>
      <c r="Q28" s="63"/>
      <c r="R28" s="63"/>
      <c r="S28" s="63"/>
      <c r="T28" s="63"/>
      <c r="U28" s="63"/>
      <c r="V28" s="63"/>
    </row>
    <row r="29" spans="1:22" x14ac:dyDescent="0.25">
      <c r="A29" s="63"/>
      <c r="B29" s="63"/>
      <c r="C29" s="63"/>
      <c r="D29" s="62"/>
      <c r="E29" s="62"/>
      <c r="F29" s="63"/>
      <c r="G29" s="63"/>
      <c r="H29" s="63"/>
      <c r="I29" s="63"/>
      <c r="J29" s="63"/>
      <c r="K29" s="63"/>
      <c r="L29" s="62"/>
      <c r="M29" s="63"/>
      <c r="N29" s="63"/>
      <c r="O29" s="63"/>
      <c r="P29" s="63"/>
      <c r="Q29" s="63"/>
      <c r="R29" s="63"/>
      <c r="S29" s="63"/>
      <c r="T29" s="63"/>
      <c r="U29" s="63"/>
      <c r="V29" s="63"/>
    </row>
    <row r="30" spans="1:22" x14ac:dyDescent="0.25">
      <c r="A30" s="63"/>
      <c r="B30" s="63"/>
      <c r="C30" s="63"/>
      <c r="D30" s="62"/>
      <c r="E30" s="62"/>
      <c r="F30" s="63"/>
      <c r="G30" s="63"/>
      <c r="H30" s="63"/>
      <c r="I30" s="63"/>
      <c r="J30" s="63"/>
      <c r="K30" s="63"/>
      <c r="L30" s="62"/>
      <c r="M30" s="63"/>
      <c r="N30" s="63"/>
      <c r="O30" s="63"/>
      <c r="P30" s="63"/>
      <c r="Q30" s="63"/>
      <c r="R30" s="63"/>
      <c r="S30" s="63"/>
      <c r="T30" s="63"/>
      <c r="U30" s="63"/>
      <c r="V30" s="63"/>
    </row>
  </sheetData>
  <autoFilter ref="A8:V8"/>
  <mergeCells count="16">
    <mergeCell ref="A1:V1"/>
    <mergeCell ref="A2:V2"/>
    <mergeCell ref="A3:V3"/>
    <mergeCell ref="A4:B4"/>
    <mergeCell ref="C4:D4"/>
    <mergeCell ref="E4:F4"/>
    <mergeCell ref="G4:H4"/>
    <mergeCell ref="I4:J4"/>
    <mergeCell ref="K4:L4"/>
    <mergeCell ref="M4:N4"/>
    <mergeCell ref="A5:V5"/>
    <mergeCell ref="A6:B6"/>
    <mergeCell ref="C6:D6"/>
    <mergeCell ref="E6:F6"/>
    <mergeCell ref="G6:H6"/>
    <mergeCell ref="A7:V7"/>
  </mergeCells>
  <dataValidations count="16">
    <dataValidation type="whole" operator="greaterThan" allowBlank="1" sqref="A10:A25">
      <formula1>0</formula1>
    </dataValidation>
    <dataValidation type="whole" operator="greaterThan" allowBlank="1" sqref="A9:A25">
      <formula1>0</formula1>
    </dataValidation>
    <dataValidation type="list" allowBlank="1" sqref="I10:I25">
      <formula1>'_LOOKUPS'!$A$2:$A$3</formula1>
    </dataValidation>
    <dataValidation type="list" allowBlank="1" sqref="I9:I25">
      <formula1>'_LOOKUPS'!$A$2:$A$3</formula1>
    </dataValidation>
    <dataValidation type="list" allowBlank="1" sqref="N10:N25">
      <formula1>'_LOOKUPS'!$E$2:$E$4</formula1>
    </dataValidation>
    <dataValidation type="list" allowBlank="1" sqref="N9:N25">
      <formula1>'_LOOKUPS'!$E$2:$E$4</formula1>
    </dataValidation>
    <dataValidation type="list" allowBlank="1" sqref="O10:Q25">
      <formula1>'_LOOKUPS'!$N$2:$N$51</formula1>
    </dataValidation>
    <dataValidation type="list" allowBlank="1" sqref="O9:Q25">
      <formula1>'_LOOKUPS'!$N$2:$N$51</formula1>
    </dataValidation>
    <dataValidation type="list" allowBlank="1" sqref="R10:R25">
      <formula1>'_LOOKUPS'!$F$2:$F$3</formula1>
    </dataValidation>
    <dataValidation type="list" allowBlank="1" sqref="R9:R25">
      <formula1>'_LOOKUPS'!$F$2:$F$3</formula1>
    </dataValidation>
    <dataValidation type="decimal" allowBlank="1" sqref="S10:S25">
      <formula1>0</formula1>
      <formula2>5</formula2>
    </dataValidation>
    <dataValidation type="decimal" allowBlank="1" sqref="S9:S25">
      <formula1>0</formula1>
      <formula2>5</formula2>
    </dataValidation>
    <dataValidation type="whole" operator="greaterThan" allowBlank="1" sqref="T10:T25">
      <formula1>0</formula1>
    </dataValidation>
    <dataValidation type="whole" operator="greaterThan" allowBlank="1" sqref="T9:T25">
      <formula1>0</formula1>
    </dataValidation>
    <dataValidation type="list" allowBlank="1" sqref="U10:U25">
      <formula1>'_LOOKUPS'!$A$2:$A$3</formula1>
    </dataValidation>
    <dataValidation type="list" allowBlank="1" sqref="U9:U25">
      <formula1>'_LOOKUPS'!$A$2:$A$3</formula1>
    </dataValidation>
  </dataValidations>
  <hyperlinks>
    <hyperlink ref="A4" r:id="rId1" tooltip="Back to HOME -&gt; HOME" location="#'HOME'!A1"/>
    <hyperlink ref="C4" r:id="rId2" tooltip="Guide -&gt; README" location="#'README'!A1"/>
    <hyperlink ref="E4" r:id="rId3" tooltip="Prev: Hero -&gt; HERO" location="#'HERO'!A1"/>
    <hyperlink ref="G4" r:id="rId4" tooltip="Next: Testimonials -&gt; TESTIMONIALS" location="#'TESTIMONIALS'!A1"/>
    <hyperlink ref="I4" r:id="rId5" tooltip="Project Stack -&gt; PROJECT_STACK" location="#'PROJECT_STACK'!A8"/>
    <hyperlink ref="K4" r:id="rId6" tooltip="Project Architecture -&gt; PROJECT_ARCH" location="#'PROJECT_ARCH'!A8"/>
    <hyperlink ref="M4" r:id="rId7" tooltip="Assets -&gt; ASSETS" location="#'ASSETS'!A8"/>
    <hyperlink ref="O9" r:id="rId8" tooltip="project-1-video -&gt; ASSETS" location="#'ASSETS'!A10"/>
    <hyperlink ref="P9" r:id="rId9" tooltip="project-1-thumbnail -&gt; ASSETS" location="#'ASSETS'!A11"/>
    <hyperlink ref="Q9" r:id="rId10" tooltip="project-1-icon -&gt; ASSETS" location="#'ASSETS'!A12"/>
    <hyperlink ref="O10" r:id="rId11" tooltip="project-2-video -&gt; ASSETS" location="#'ASSETS'!A13"/>
    <hyperlink ref="P10" r:id="rId12" tooltip="project-2-thumbnail -&gt; ASSETS" location="#'ASSETS'!A14"/>
    <hyperlink ref="Q10" r:id="rId13" tooltip="project-2-icon -&gt; ASSETS" location="#'ASSETS'!A15"/>
    <hyperlink ref="O11" r:id="rId14" tooltip="project-3-video -&gt; ASSETS" location="#'ASSETS'!A16"/>
    <hyperlink ref="P11" r:id="rId15" tooltip="project-3-thumbnail -&gt; ASSETS" location="#'ASSETS'!A17"/>
    <hyperlink ref="Q11" r:id="rId16" tooltip="project-3-icon -&gt; ASSETS" location="#'ASSETS'!A18"/>
    <hyperlink ref="O12" r:id="rId17" tooltip="project-4-video -&gt; ASSETS" location="#'ASSETS'!A19"/>
    <hyperlink ref="P12" r:id="rId18" tooltip="project-4-thumbnail -&gt; ASSETS" location="#'ASSETS'!A20"/>
    <hyperlink ref="Q12" r:id="rId19" tooltip="project-4-icon -&gt; ASSETS" location="#'ASSETS'!A21"/>
    <hyperlink ref="O13" r:id="rId20" tooltip="project-5-video -&gt; ASSETS" location="#'ASSETS'!A22"/>
    <hyperlink ref="P13" r:id="rId21" tooltip="project-5-thumbnail -&gt; ASSETS" location="#'ASSETS'!A23"/>
    <hyperlink ref="Q13" r:id="rId22" tooltip="project-5-icon -&gt; ASSETS" location="#'ASSETS'!A24"/>
    <hyperlink ref="O14" r:id="rId23" tooltip="project-6-video -&gt; ASSETS" location="#'ASSETS'!A45"/>
    <hyperlink ref="P14" r:id="rId24" tooltip="project-6-thumbnail -&gt; ASSETS" location="#'ASSETS'!A46"/>
    <hyperlink ref="Q14" r:id="rId25" tooltip="project-6-icon -&gt; ASSETS" location="#'ASSETS'!A47"/>
    <hyperlink ref="O15" r:id="rId26" tooltip="datacraft-video -&gt; ASSETS" location="#'ASSETS'!A58"/>
    <hyperlink ref="P15" r:id="rId27" tooltip="datacraft-cover -&gt; ASSETS" location="#'ASSETS'!A48"/>
    <hyperlink ref="Q15" r:id="rId28" tooltip="datacraft-icon -&gt; ASSETS" location="#'ASSETS'!A49"/>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2C55E"/>
  </sheetPr>
  <dimension ref="A1:P42"/>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28" style="53" customWidth="1"/>
    <col min="2" max="2" width="18" style="53" customWidth="1"/>
    <col min="3" max="3" width="30" style="53" customWidth="1"/>
    <col min="4" max="4" width="24" style="53" customWidth="1"/>
    <col min="5" max="5" width="28" style="53" customWidth="1"/>
    <col min="6" max="6" width="34" style="53" customWidth="1"/>
    <col min="7" max="7" width="88" style="54" customWidth="1"/>
    <col min="8" max="8" width="14" style="53" customWidth="1"/>
    <col min="9" max="9" width="48" style="54" customWidth="1"/>
    <col min="10" max="11" width="24" style="53" customWidth="1"/>
    <col min="12" max="12" width="12" style="53" customWidth="1"/>
    <col min="13" max="14" width="14" style="53" customWidth="1"/>
    <col min="15" max="15" width="10" style="53" customWidth="1"/>
    <col min="16" max="16" width="20" style="53" customWidth="1"/>
  </cols>
  <sheetData>
    <row r="1" ht="28" customHeight="1" spans="1:16" x14ac:dyDescent="0.25">
      <c r="A1" s="55" t="s">
        <v>30</v>
      </c>
      <c r="B1" s="55"/>
      <c r="C1" s="55"/>
      <c r="D1" s="55"/>
      <c r="E1" s="55"/>
      <c r="F1" s="55"/>
      <c r="G1" s="55"/>
      <c r="H1" s="55"/>
      <c r="I1" s="55"/>
      <c r="J1" s="55"/>
      <c r="K1" s="55"/>
      <c r="L1" s="55"/>
      <c r="M1" s="55"/>
      <c r="N1" s="55"/>
      <c r="O1" s="55"/>
      <c r="P1" s="55"/>
    </row>
    <row r="2" ht="22" customHeight="1" spans="1:16" x14ac:dyDescent="0.25">
      <c r="A2" s="56" t="s">
        <v>316</v>
      </c>
      <c r="B2" s="56"/>
      <c r="C2" s="56"/>
      <c r="D2" s="56"/>
      <c r="E2" s="56"/>
      <c r="F2" s="56"/>
      <c r="G2" s="56"/>
      <c r="H2" s="56"/>
      <c r="I2" s="56"/>
      <c r="J2" s="56"/>
      <c r="K2" s="56"/>
      <c r="L2" s="56"/>
      <c r="M2" s="56"/>
      <c r="N2" s="56"/>
      <c r="O2" s="56"/>
      <c r="P2" s="56"/>
    </row>
    <row r="3" ht="20" customHeight="1" spans="1:16" x14ac:dyDescent="0.25">
      <c r="A3" s="79" t="s">
        <v>193</v>
      </c>
      <c r="B3" s="79"/>
      <c r="C3" s="79"/>
      <c r="D3" s="79"/>
      <c r="E3" s="79"/>
      <c r="F3" s="79"/>
      <c r="G3" s="79"/>
      <c r="H3" s="79"/>
      <c r="I3" s="79"/>
      <c r="J3" s="79"/>
      <c r="K3" s="79"/>
      <c r="L3" s="79"/>
      <c r="M3" s="79"/>
      <c r="N3" s="79"/>
      <c r="O3" s="79"/>
      <c r="P3" s="79"/>
    </row>
    <row r="4" ht="20" customHeight="1" spans="1:16" x14ac:dyDescent="0.25">
      <c r="A4" s="16" t="s">
        <v>61</v>
      </c>
      <c r="B4" s="16"/>
      <c r="C4" s="16" t="s">
        <v>194</v>
      </c>
      <c r="D4" s="16"/>
      <c r="E4" s="16" t="s">
        <v>317</v>
      </c>
      <c r="F4" s="16"/>
      <c r="G4" s="16" t="s">
        <v>318</v>
      </c>
      <c r="H4" s="16"/>
      <c r="I4" s="16" t="s">
        <v>46</v>
      </c>
      <c r="J4" s="16"/>
      <c r="K4" s="16" t="s">
        <v>63</v>
      </c>
      <c r="L4" s="16"/>
      <c r="M4" s="63"/>
      <c r="N4" s="63"/>
      <c r="O4" s="63"/>
      <c r="P4" s="63"/>
    </row>
    <row r="5" ht="20" customHeight="1" spans="1:16" x14ac:dyDescent="0.25">
      <c r="A5" s="4" t="s">
        <v>197</v>
      </c>
      <c r="B5" s="4"/>
      <c r="C5" s="4"/>
      <c r="D5" s="4"/>
      <c r="E5" s="4"/>
      <c r="F5" s="4"/>
      <c r="G5" s="4"/>
      <c r="H5" s="4"/>
      <c r="I5" s="4"/>
      <c r="J5" s="4"/>
      <c r="K5" s="4"/>
      <c r="L5" s="4"/>
      <c r="M5" s="4"/>
      <c r="N5" s="4"/>
      <c r="O5" s="4"/>
      <c r="P5" s="4"/>
    </row>
    <row r="6" ht="18" customHeight="1" spans="1:16" x14ac:dyDescent="0.25">
      <c r="A6" s="58" t="s">
        <v>198</v>
      </c>
      <c r="B6" s="58"/>
      <c r="C6" s="59" t="s">
        <v>199</v>
      </c>
      <c r="D6" s="59"/>
      <c r="E6" s="60" t="s">
        <v>200</v>
      </c>
      <c r="F6" s="60"/>
      <c r="G6" s="61" t="s">
        <v>201</v>
      </c>
      <c r="H6" s="61"/>
      <c r="I6" s="62"/>
      <c r="J6" s="63"/>
      <c r="K6" s="63"/>
      <c r="L6" s="63"/>
      <c r="M6" s="63"/>
      <c r="N6" s="63"/>
      <c r="O6" s="63"/>
      <c r="P6" s="63"/>
    </row>
    <row r="7" ht="22" customHeight="1" spans="1:16" x14ac:dyDescent="0.25">
      <c r="A7" s="64" t="s">
        <v>202</v>
      </c>
      <c r="B7" s="64"/>
      <c r="C7" s="64"/>
      <c r="D7" s="64"/>
      <c r="E7" s="64"/>
      <c r="F7" s="64"/>
      <c r="G7" s="64"/>
      <c r="H7" s="64"/>
      <c r="I7" s="64"/>
      <c r="J7" s="64"/>
      <c r="K7" s="64"/>
      <c r="L7" s="64"/>
      <c r="M7" s="64"/>
      <c r="N7" s="64"/>
      <c r="O7" s="64"/>
      <c r="P7" s="64"/>
    </row>
    <row r="8" spans="1:16" x14ac:dyDescent="0.25">
      <c r="A8" s="65" t="s">
        <v>253</v>
      </c>
      <c r="B8" s="65" t="s">
        <v>319</v>
      </c>
      <c r="C8" s="66" t="s">
        <v>320</v>
      </c>
      <c r="D8" s="66" t="s">
        <v>321</v>
      </c>
      <c r="E8" s="66" t="s">
        <v>322</v>
      </c>
      <c r="F8" s="66" t="s">
        <v>323</v>
      </c>
      <c r="G8" s="65" t="s">
        <v>324</v>
      </c>
      <c r="H8" s="65" t="s">
        <v>325</v>
      </c>
      <c r="I8" s="65" t="s">
        <v>326</v>
      </c>
      <c r="J8" s="65" t="s">
        <v>327</v>
      </c>
      <c r="K8" s="66" t="s">
        <v>206</v>
      </c>
      <c r="L8" s="65" t="s">
        <v>328</v>
      </c>
      <c r="M8" s="66" t="s">
        <v>329</v>
      </c>
      <c r="N8" s="65" t="s">
        <v>330</v>
      </c>
      <c r="O8" s="65" t="s">
        <v>272</v>
      </c>
      <c r="P8" s="67" t="s">
        <v>216</v>
      </c>
    </row>
    <row r="9" ht="94" customHeight="1" spans="1:16" x14ac:dyDescent="0.25">
      <c r="A9" s="68" t="s">
        <v>331</v>
      </c>
      <c r="B9" s="70" t="s">
        <v>108</v>
      </c>
      <c r="C9" s="68" t="s">
        <v>279</v>
      </c>
      <c r="D9" s="68" t="s">
        <v>279</v>
      </c>
      <c r="E9" s="68" t="s">
        <v>332</v>
      </c>
      <c r="F9" s="68" t="s">
        <v>333</v>
      </c>
      <c r="G9" s="69" t="s">
        <v>334</v>
      </c>
      <c r="H9" s="68" t="s">
        <v>113</v>
      </c>
      <c r="I9" s="69" t="s">
        <v>335</v>
      </c>
      <c r="J9" s="68" t="s">
        <v>336</v>
      </c>
      <c r="K9" s="70" t="s">
        <v>165</v>
      </c>
      <c r="L9" s="76" t="s">
        <v>112</v>
      </c>
      <c r="M9" s="68" t="s">
        <v>279</v>
      </c>
      <c r="N9" s="76" t="s">
        <v>112</v>
      </c>
      <c r="O9" s="68">
        <v>1</v>
      </c>
      <c r="P9" s="71" t="s">
        <v>337</v>
      </c>
    </row>
    <row r="10" ht="50" customHeight="1" spans="1:16" x14ac:dyDescent="0.25">
      <c r="A10" s="72" t="s">
        <v>338</v>
      </c>
      <c r="B10" s="78" t="s">
        <v>108</v>
      </c>
      <c r="C10" s="72" t="s">
        <v>279</v>
      </c>
      <c r="D10" s="72" t="s">
        <v>279</v>
      </c>
      <c r="E10" s="72" t="s">
        <v>339</v>
      </c>
      <c r="F10" s="72" t="s">
        <v>333</v>
      </c>
      <c r="G10" s="73" t="s">
        <v>340</v>
      </c>
      <c r="H10" s="72" t="s">
        <v>124</v>
      </c>
      <c r="I10" s="73" t="s">
        <v>335</v>
      </c>
      <c r="J10" s="72" t="s">
        <v>341</v>
      </c>
      <c r="K10" s="78" t="s">
        <v>173</v>
      </c>
      <c r="L10" s="77" t="s">
        <v>98</v>
      </c>
      <c r="M10" s="72">
        <v>3</v>
      </c>
      <c r="N10" s="77" t="s">
        <v>112</v>
      </c>
      <c r="O10" s="72">
        <v>2</v>
      </c>
      <c r="P10" s="71" t="s">
        <v>342</v>
      </c>
    </row>
    <row r="11" spans="1:16" x14ac:dyDescent="0.25">
      <c r="A11" s="68" t="s">
        <v>343</v>
      </c>
      <c r="B11" s="70" t="s">
        <v>108</v>
      </c>
      <c r="C11" s="68" t="s">
        <v>279</v>
      </c>
      <c r="D11" s="68" t="s">
        <v>279</v>
      </c>
      <c r="E11" s="68" t="s">
        <v>344</v>
      </c>
      <c r="F11" s="68" t="s">
        <v>333</v>
      </c>
      <c r="G11" s="69" t="s">
        <v>345</v>
      </c>
      <c r="H11" s="68" t="s">
        <v>134</v>
      </c>
      <c r="I11" s="69" t="s">
        <v>335</v>
      </c>
      <c r="J11" s="68" t="s">
        <v>346</v>
      </c>
      <c r="K11" s="70" t="s">
        <v>174</v>
      </c>
      <c r="L11" s="76" t="s">
        <v>98</v>
      </c>
      <c r="M11" s="68">
        <v>5</v>
      </c>
      <c r="N11" s="76" t="s">
        <v>112</v>
      </c>
      <c r="O11" s="68">
        <v>3</v>
      </c>
      <c r="P11" s="71" t="s">
        <v>342</v>
      </c>
    </row>
    <row r="12" spans="1:16" x14ac:dyDescent="0.25">
      <c r="A12" s="72" t="s">
        <v>347</v>
      </c>
      <c r="B12" s="78" t="s">
        <v>108</v>
      </c>
      <c r="C12" s="72" t="s">
        <v>279</v>
      </c>
      <c r="D12" s="72" t="s">
        <v>279</v>
      </c>
      <c r="E12" s="72" t="s">
        <v>348</v>
      </c>
      <c r="F12" s="72" t="s">
        <v>333</v>
      </c>
      <c r="G12" s="73" t="s">
        <v>349</v>
      </c>
      <c r="H12" s="72" t="s">
        <v>142</v>
      </c>
      <c r="I12" s="73" t="s">
        <v>335</v>
      </c>
      <c r="J12" s="72" t="s">
        <v>350</v>
      </c>
      <c r="K12" s="78" t="s">
        <v>159</v>
      </c>
      <c r="L12" s="77" t="s">
        <v>112</v>
      </c>
      <c r="M12" s="72" t="s">
        <v>279</v>
      </c>
      <c r="N12" s="77" t="s">
        <v>112</v>
      </c>
      <c r="O12" s="72">
        <v>4</v>
      </c>
      <c r="P12" s="71" t="s">
        <v>337</v>
      </c>
    </row>
    <row r="13" ht="94" customHeight="1" spans="1:16" x14ac:dyDescent="0.25">
      <c r="A13" s="68" t="s">
        <v>351</v>
      </c>
      <c r="B13" s="70" t="s">
        <v>108</v>
      </c>
      <c r="C13" s="68" t="s">
        <v>279</v>
      </c>
      <c r="D13" s="68" t="s">
        <v>279</v>
      </c>
      <c r="E13" s="68" t="s">
        <v>352</v>
      </c>
      <c r="F13" s="68" t="s">
        <v>353</v>
      </c>
      <c r="G13" s="69" t="s">
        <v>354</v>
      </c>
      <c r="H13" s="68" t="s">
        <v>142</v>
      </c>
      <c r="I13" s="69" t="s">
        <v>355</v>
      </c>
      <c r="J13" s="68" t="s">
        <v>356</v>
      </c>
      <c r="K13" s="70" t="s">
        <v>172</v>
      </c>
      <c r="L13" s="76" t="s">
        <v>98</v>
      </c>
      <c r="M13" s="68">
        <v>1</v>
      </c>
      <c r="N13" s="76" t="s">
        <v>98</v>
      </c>
      <c r="O13" s="68">
        <v>5</v>
      </c>
      <c r="P13" s="71" t="s">
        <v>357</v>
      </c>
    </row>
    <row r="14" spans="1:16" x14ac:dyDescent="0.25">
      <c r="A14" s="72" t="s">
        <v>358</v>
      </c>
      <c r="B14" s="78" t="s">
        <v>108</v>
      </c>
      <c r="C14" s="72" t="s">
        <v>279</v>
      </c>
      <c r="D14" s="72" t="s">
        <v>279</v>
      </c>
      <c r="E14" s="72" t="s">
        <v>359</v>
      </c>
      <c r="F14" s="72" t="s">
        <v>353</v>
      </c>
      <c r="G14" s="73" t="s">
        <v>360</v>
      </c>
      <c r="H14" s="72" t="s">
        <v>142</v>
      </c>
      <c r="I14" s="73" t="s">
        <v>355</v>
      </c>
      <c r="J14" s="72" t="s">
        <v>361</v>
      </c>
      <c r="K14" s="78" t="s">
        <v>175</v>
      </c>
      <c r="L14" s="77" t="s">
        <v>98</v>
      </c>
      <c r="M14" s="72">
        <v>7</v>
      </c>
      <c r="N14" s="77" t="s">
        <v>112</v>
      </c>
      <c r="O14" s="72">
        <v>6</v>
      </c>
      <c r="P14" s="71" t="s">
        <v>342</v>
      </c>
    </row>
    <row r="15" ht="94" customHeight="1" spans="1:16" x14ac:dyDescent="0.25">
      <c r="A15" s="68" t="s">
        <v>362</v>
      </c>
      <c r="B15" s="70" t="s">
        <v>108</v>
      </c>
      <c r="C15" s="68" t="s">
        <v>279</v>
      </c>
      <c r="D15" s="68" t="s">
        <v>279</v>
      </c>
      <c r="E15" s="68" t="s">
        <v>363</v>
      </c>
      <c r="F15" s="68" t="s">
        <v>364</v>
      </c>
      <c r="G15" s="69" t="s">
        <v>365</v>
      </c>
      <c r="H15" s="68" t="s">
        <v>142</v>
      </c>
      <c r="I15" s="69" t="s">
        <v>366</v>
      </c>
      <c r="J15" s="68" t="s">
        <v>367</v>
      </c>
      <c r="K15" s="70" t="s">
        <v>162</v>
      </c>
      <c r="L15" s="76" t="s">
        <v>112</v>
      </c>
      <c r="M15" s="68" t="s">
        <v>279</v>
      </c>
      <c r="N15" s="76" t="s">
        <v>112</v>
      </c>
      <c r="O15" s="68">
        <v>7</v>
      </c>
      <c r="P15" s="71" t="s">
        <v>337</v>
      </c>
    </row>
    <row r="16" ht="68" customHeight="1" spans="1:16" x14ac:dyDescent="0.25">
      <c r="A16" s="72" t="s">
        <v>368</v>
      </c>
      <c r="B16" s="78" t="s">
        <v>108</v>
      </c>
      <c r="C16" s="72" t="s">
        <v>279</v>
      </c>
      <c r="D16" s="72" t="s">
        <v>279</v>
      </c>
      <c r="E16" s="72" t="s">
        <v>369</v>
      </c>
      <c r="F16" s="72" t="s">
        <v>370</v>
      </c>
      <c r="G16" s="73" t="s">
        <v>371</v>
      </c>
      <c r="H16" s="72" t="s">
        <v>142</v>
      </c>
      <c r="I16" s="73" t="s">
        <v>372</v>
      </c>
      <c r="J16" s="72" t="s">
        <v>373</v>
      </c>
      <c r="K16" s="78" t="s">
        <v>169</v>
      </c>
      <c r="L16" s="77" t="s">
        <v>98</v>
      </c>
      <c r="M16" s="72">
        <v>2</v>
      </c>
      <c r="N16" s="77" t="s">
        <v>98</v>
      </c>
      <c r="O16" s="72">
        <v>8</v>
      </c>
      <c r="P16" s="71" t="s">
        <v>357</v>
      </c>
    </row>
    <row r="17" ht="68" customHeight="1" spans="1:16" x14ac:dyDescent="0.25">
      <c r="A17" s="68" t="s">
        <v>374</v>
      </c>
      <c r="B17" s="70" t="s">
        <v>108</v>
      </c>
      <c r="C17" s="68" t="s">
        <v>279</v>
      </c>
      <c r="D17" s="68" t="s">
        <v>279</v>
      </c>
      <c r="E17" s="68" t="s">
        <v>375</v>
      </c>
      <c r="F17" s="68" t="s">
        <v>370</v>
      </c>
      <c r="G17" s="69" t="s">
        <v>376</v>
      </c>
      <c r="H17" s="68" t="s">
        <v>142</v>
      </c>
      <c r="I17" s="69" t="s">
        <v>372</v>
      </c>
      <c r="J17" s="68" t="s">
        <v>377</v>
      </c>
      <c r="K17" s="70" t="s">
        <v>165</v>
      </c>
      <c r="L17" s="76" t="s">
        <v>112</v>
      </c>
      <c r="M17" s="68" t="s">
        <v>279</v>
      </c>
      <c r="N17" s="76" t="s">
        <v>112</v>
      </c>
      <c r="O17" s="68">
        <v>9</v>
      </c>
      <c r="P17" s="71" t="s">
        <v>337</v>
      </c>
    </row>
    <row r="18" ht="50" customHeight="1" spans="1:16" x14ac:dyDescent="0.25">
      <c r="A18" s="72" t="s">
        <v>378</v>
      </c>
      <c r="B18" s="78" t="s">
        <v>108</v>
      </c>
      <c r="C18" s="72" t="s">
        <v>279</v>
      </c>
      <c r="D18" s="72" t="s">
        <v>279</v>
      </c>
      <c r="E18" s="72" t="s">
        <v>379</v>
      </c>
      <c r="F18" s="72" t="s">
        <v>370</v>
      </c>
      <c r="G18" s="73" t="s">
        <v>380</v>
      </c>
      <c r="H18" s="72" t="s">
        <v>142</v>
      </c>
      <c r="I18" s="73" t="s">
        <v>372</v>
      </c>
      <c r="J18" s="72" t="s">
        <v>381</v>
      </c>
      <c r="K18" s="78" t="s">
        <v>170</v>
      </c>
      <c r="L18" s="77" t="s">
        <v>98</v>
      </c>
      <c r="M18" s="72">
        <v>4</v>
      </c>
      <c r="N18" s="77" t="s">
        <v>98</v>
      </c>
      <c r="O18" s="72">
        <v>10</v>
      </c>
      <c r="P18" s="71" t="s">
        <v>357</v>
      </c>
    </row>
    <row r="19" ht="68" customHeight="1" spans="1:16" x14ac:dyDescent="0.25">
      <c r="A19" s="68" t="s">
        <v>382</v>
      </c>
      <c r="B19" s="70" t="s">
        <v>108</v>
      </c>
      <c r="C19" s="68" t="s">
        <v>279</v>
      </c>
      <c r="D19" s="68" t="s">
        <v>279</v>
      </c>
      <c r="E19" s="68" t="s">
        <v>383</v>
      </c>
      <c r="F19" s="68" t="s">
        <v>370</v>
      </c>
      <c r="G19" s="69" t="s">
        <v>384</v>
      </c>
      <c r="H19" s="68" t="s">
        <v>142</v>
      </c>
      <c r="I19" s="69" t="s">
        <v>372</v>
      </c>
      <c r="J19" s="68" t="s">
        <v>385</v>
      </c>
      <c r="K19" s="70" t="s">
        <v>158</v>
      </c>
      <c r="L19" s="76" t="s">
        <v>112</v>
      </c>
      <c r="M19" s="68" t="s">
        <v>279</v>
      </c>
      <c r="N19" s="76" t="s">
        <v>112</v>
      </c>
      <c r="O19" s="68">
        <v>11</v>
      </c>
      <c r="P19" s="71" t="s">
        <v>337</v>
      </c>
    </row>
    <row r="20" ht="68" customHeight="1" spans="1:16" x14ac:dyDescent="0.25">
      <c r="A20" s="72" t="s">
        <v>386</v>
      </c>
      <c r="B20" s="78" t="s">
        <v>108</v>
      </c>
      <c r="C20" s="72" t="s">
        <v>279</v>
      </c>
      <c r="D20" s="72" t="s">
        <v>279</v>
      </c>
      <c r="E20" s="72" t="s">
        <v>387</v>
      </c>
      <c r="F20" s="72" t="s">
        <v>370</v>
      </c>
      <c r="G20" s="73" t="s">
        <v>388</v>
      </c>
      <c r="H20" s="72" t="s">
        <v>142</v>
      </c>
      <c r="I20" s="73" t="s">
        <v>372</v>
      </c>
      <c r="J20" s="72" t="s">
        <v>389</v>
      </c>
      <c r="K20" s="78" t="s">
        <v>171</v>
      </c>
      <c r="L20" s="77" t="s">
        <v>98</v>
      </c>
      <c r="M20" s="72">
        <v>6</v>
      </c>
      <c r="N20" s="77" t="s">
        <v>98</v>
      </c>
      <c r="O20" s="72">
        <v>12</v>
      </c>
      <c r="P20" s="71" t="s">
        <v>357</v>
      </c>
    </row>
    <row r="21" spans="1:16" x14ac:dyDescent="0.25">
      <c r="A21" s="68" t="s">
        <v>390</v>
      </c>
      <c r="B21" s="70" t="s">
        <v>108</v>
      </c>
      <c r="C21" s="68" t="s">
        <v>279</v>
      </c>
      <c r="D21" s="68" t="s">
        <v>279</v>
      </c>
      <c r="E21" s="68" t="s">
        <v>391</v>
      </c>
      <c r="F21" s="68" t="s">
        <v>370</v>
      </c>
      <c r="G21" s="69" t="s">
        <v>392</v>
      </c>
      <c r="H21" s="68" t="s">
        <v>142</v>
      </c>
      <c r="I21" s="69" t="s">
        <v>372</v>
      </c>
      <c r="J21" s="68" t="s">
        <v>393</v>
      </c>
      <c r="K21" s="70" t="s">
        <v>161</v>
      </c>
      <c r="L21" s="76" t="s">
        <v>112</v>
      </c>
      <c r="M21" s="68" t="s">
        <v>279</v>
      </c>
      <c r="N21" s="76" t="s">
        <v>112</v>
      </c>
      <c r="O21" s="68">
        <v>13</v>
      </c>
      <c r="P21" s="71" t="s">
        <v>337</v>
      </c>
    </row>
    <row r="22" spans="1:16" x14ac:dyDescent="0.25">
      <c r="A22" s="72" t="s">
        <v>394</v>
      </c>
      <c r="B22" s="78" t="s">
        <v>108</v>
      </c>
      <c r="C22" s="72" t="s">
        <v>279</v>
      </c>
      <c r="D22" s="72" t="s">
        <v>279</v>
      </c>
      <c r="E22" s="72" t="s">
        <v>395</v>
      </c>
      <c r="F22" s="72" t="s">
        <v>370</v>
      </c>
      <c r="G22" s="73" t="s">
        <v>396</v>
      </c>
      <c r="H22" s="72" t="s">
        <v>142</v>
      </c>
      <c r="I22" s="73" t="s">
        <v>397</v>
      </c>
      <c r="J22" s="72" t="s">
        <v>398</v>
      </c>
      <c r="K22" s="78" t="s">
        <v>164</v>
      </c>
      <c r="L22" s="77" t="s">
        <v>112</v>
      </c>
      <c r="M22" s="72" t="s">
        <v>279</v>
      </c>
      <c r="N22" s="77" t="s">
        <v>112</v>
      </c>
      <c r="O22" s="72">
        <v>14</v>
      </c>
      <c r="P22" s="71" t="s">
        <v>337</v>
      </c>
    </row>
    <row r="23" spans="1:16" x14ac:dyDescent="0.25">
      <c r="A23" s="68" t="s">
        <v>399</v>
      </c>
      <c r="B23" s="70" t="s">
        <v>108</v>
      </c>
      <c r="C23" s="68" t="s">
        <v>279</v>
      </c>
      <c r="D23" s="68" t="s">
        <v>279</v>
      </c>
      <c r="E23" s="68" t="s">
        <v>400</v>
      </c>
      <c r="F23" s="68" t="s">
        <v>370</v>
      </c>
      <c r="G23" s="69" t="s">
        <v>401</v>
      </c>
      <c r="H23" s="68" t="s">
        <v>142</v>
      </c>
      <c r="I23" s="69" t="s">
        <v>397</v>
      </c>
      <c r="J23" s="68" t="s">
        <v>402</v>
      </c>
      <c r="K23" s="70" t="s">
        <v>163</v>
      </c>
      <c r="L23" s="76" t="s">
        <v>112</v>
      </c>
      <c r="M23" s="68" t="s">
        <v>279</v>
      </c>
      <c r="N23" s="76" t="s">
        <v>112</v>
      </c>
      <c r="O23" s="68">
        <v>15</v>
      </c>
      <c r="P23" s="71" t="s">
        <v>337</v>
      </c>
    </row>
    <row r="24" spans="1:16" x14ac:dyDescent="0.25">
      <c r="A24" s="72" t="s">
        <v>403</v>
      </c>
      <c r="B24" s="78" t="s">
        <v>108</v>
      </c>
      <c r="C24" s="72" t="s">
        <v>279</v>
      </c>
      <c r="D24" s="72" t="s">
        <v>279</v>
      </c>
      <c r="E24" s="72" t="s">
        <v>404</v>
      </c>
      <c r="F24" s="72" t="s">
        <v>370</v>
      </c>
      <c r="G24" s="73" t="s">
        <v>405</v>
      </c>
      <c r="H24" s="72" t="s">
        <v>142</v>
      </c>
      <c r="I24" s="73" t="s">
        <v>397</v>
      </c>
      <c r="J24" s="72" t="s">
        <v>406</v>
      </c>
      <c r="K24" s="78" t="s">
        <v>168</v>
      </c>
      <c r="L24" s="77" t="s">
        <v>112</v>
      </c>
      <c r="M24" s="72" t="s">
        <v>279</v>
      </c>
      <c r="N24" s="77" t="s">
        <v>112</v>
      </c>
      <c r="O24" s="72">
        <v>16</v>
      </c>
      <c r="P24" s="71" t="s">
        <v>337</v>
      </c>
    </row>
    <row r="25" spans="1:16" x14ac:dyDescent="0.25">
      <c r="A25" s="68" t="s">
        <v>407</v>
      </c>
      <c r="B25" s="70" t="s">
        <v>108</v>
      </c>
      <c r="C25" s="68" t="s">
        <v>279</v>
      </c>
      <c r="D25" s="68" t="s">
        <v>279</v>
      </c>
      <c r="E25" s="68" t="s">
        <v>408</v>
      </c>
      <c r="F25" s="68" t="s">
        <v>370</v>
      </c>
      <c r="G25" s="69" t="s">
        <v>409</v>
      </c>
      <c r="H25" s="68" t="s">
        <v>142</v>
      </c>
      <c r="I25" s="69" t="s">
        <v>397</v>
      </c>
      <c r="J25" s="68" t="s">
        <v>410</v>
      </c>
      <c r="K25" s="70" t="s">
        <v>160</v>
      </c>
      <c r="L25" s="76" t="s">
        <v>112</v>
      </c>
      <c r="M25" s="68" t="s">
        <v>279</v>
      </c>
      <c r="N25" s="76" t="s">
        <v>112</v>
      </c>
      <c r="O25" s="68">
        <v>17</v>
      </c>
      <c r="P25" s="71" t="s">
        <v>337</v>
      </c>
    </row>
    <row r="26" spans="1:16" x14ac:dyDescent="0.25">
      <c r="A26" s="72"/>
      <c r="B26" s="72"/>
      <c r="C26" s="72"/>
      <c r="D26" s="72"/>
      <c r="E26" s="72"/>
      <c r="F26" s="72"/>
      <c r="G26" s="73"/>
      <c r="H26" s="72"/>
      <c r="I26" s="73"/>
      <c r="J26" s="72"/>
      <c r="K26" s="72"/>
      <c r="L26" s="77"/>
      <c r="M26" s="72"/>
      <c r="N26" s="77"/>
      <c r="O26" s="72"/>
      <c r="P26" s="74"/>
    </row>
    <row r="27" spans="1:16" x14ac:dyDescent="0.25">
      <c r="A27" s="68"/>
      <c r="B27" s="68"/>
      <c r="C27" s="68"/>
      <c r="D27" s="68"/>
      <c r="E27" s="68"/>
      <c r="F27" s="68"/>
      <c r="G27" s="69"/>
      <c r="H27" s="68"/>
      <c r="I27" s="69"/>
      <c r="J27" s="68"/>
      <c r="K27" s="68"/>
      <c r="L27" s="76"/>
      <c r="M27" s="68"/>
      <c r="N27" s="76"/>
      <c r="O27" s="68"/>
      <c r="P27" s="74"/>
    </row>
    <row r="28" spans="1:16" x14ac:dyDescent="0.25">
      <c r="A28" s="72"/>
      <c r="B28" s="72"/>
      <c r="C28" s="72"/>
      <c r="D28" s="72"/>
      <c r="E28" s="72"/>
      <c r="F28" s="72"/>
      <c r="G28" s="73"/>
      <c r="H28" s="72"/>
      <c r="I28" s="73"/>
      <c r="J28" s="72"/>
      <c r="K28" s="72"/>
      <c r="L28" s="77"/>
      <c r="M28" s="72"/>
      <c r="N28" s="77"/>
      <c r="O28" s="72"/>
      <c r="P28" s="74"/>
    </row>
    <row r="29" spans="1:16" x14ac:dyDescent="0.25">
      <c r="A29" s="68"/>
      <c r="B29" s="68"/>
      <c r="C29" s="68"/>
      <c r="D29" s="68"/>
      <c r="E29" s="68"/>
      <c r="F29" s="68"/>
      <c r="G29" s="69"/>
      <c r="H29" s="68"/>
      <c r="I29" s="69"/>
      <c r="J29" s="68"/>
      <c r="K29" s="68"/>
      <c r="L29" s="76"/>
      <c r="M29" s="68"/>
      <c r="N29" s="76"/>
      <c r="O29" s="68"/>
      <c r="P29" s="74"/>
    </row>
    <row r="30" spans="1:16" x14ac:dyDescent="0.25">
      <c r="A30" s="72"/>
      <c r="B30" s="72"/>
      <c r="C30" s="72"/>
      <c r="D30" s="72"/>
      <c r="E30" s="72"/>
      <c r="F30" s="72"/>
      <c r="G30" s="73"/>
      <c r="H30" s="72"/>
      <c r="I30" s="73"/>
      <c r="J30" s="72"/>
      <c r="K30" s="72"/>
      <c r="L30" s="77"/>
      <c r="M30" s="72"/>
      <c r="N30" s="77"/>
      <c r="O30" s="72"/>
      <c r="P30" s="74"/>
    </row>
    <row r="31" spans="1:16" x14ac:dyDescent="0.25">
      <c r="A31" s="68"/>
      <c r="B31" s="68"/>
      <c r="C31" s="68"/>
      <c r="D31" s="68"/>
      <c r="E31" s="68"/>
      <c r="F31" s="68"/>
      <c r="G31" s="69"/>
      <c r="H31" s="68"/>
      <c r="I31" s="69"/>
      <c r="J31" s="68"/>
      <c r="K31" s="68"/>
      <c r="L31" s="76"/>
      <c r="M31" s="68"/>
      <c r="N31" s="76"/>
      <c r="O31" s="68"/>
      <c r="P31" s="74"/>
    </row>
    <row r="32" spans="1:16" x14ac:dyDescent="0.25">
      <c r="A32" s="72"/>
      <c r="B32" s="72"/>
      <c r="C32" s="72"/>
      <c r="D32" s="72"/>
      <c r="E32" s="72"/>
      <c r="F32" s="72"/>
      <c r="G32" s="73"/>
      <c r="H32" s="72"/>
      <c r="I32" s="73"/>
      <c r="J32" s="72"/>
      <c r="K32" s="72"/>
      <c r="L32" s="77"/>
      <c r="M32" s="72"/>
      <c r="N32" s="77"/>
      <c r="O32" s="72"/>
      <c r="P32" s="74"/>
    </row>
    <row r="33" spans="1:16" x14ac:dyDescent="0.25">
      <c r="A33" s="68"/>
      <c r="B33" s="68"/>
      <c r="C33" s="68"/>
      <c r="D33" s="68"/>
      <c r="E33" s="68"/>
      <c r="F33" s="68"/>
      <c r="G33" s="69"/>
      <c r="H33" s="68"/>
      <c r="I33" s="69"/>
      <c r="J33" s="68"/>
      <c r="K33" s="68"/>
      <c r="L33" s="76"/>
      <c r="M33" s="68"/>
      <c r="N33" s="76"/>
      <c r="O33" s="68"/>
      <c r="P33" s="74"/>
    </row>
    <row r="34" spans="1:16" x14ac:dyDescent="0.25">
      <c r="A34" s="72"/>
      <c r="B34" s="72"/>
      <c r="C34" s="72"/>
      <c r="D34" s="72"/>
      <c r="E34" s="72"/>
      <c r="F34" s="72"/>
      <c r="G34" s="73"/>
      <c r="H34" s="72"/>
      <c r="I34" s="73"/>
      <c r="J34" s="72"/>
      <c r="K34" s="72"/>
      <c r="L34" s="77"/>
      <c r="M34" s="72"/>
      <c r="N34" s="77"/>
      <c r="O34" s="72"/>
      <c r="P34" s="74"/>
    </row>
    <row r="35" spans="1:16" x14ac:dyDescent="0.25">
      <c r="A35" s="68"/>
      <c r="B35" s="68"/>
      <c r="C35" s="68"/>
      <c r="D35" s="68"/>
      <c r="E35" s="68"/>
      <c r="F35" s="68"/>
      <c r="G35" s="69"/>
      <c r="H35" s="68"/>
      <c r="I35" s="69"/>
      <c r="J35" s="68"/>
      <c r="K35" s="68"/>
      <c r="L35" s="76"/>
      <c r="M35" s="68"/>
      <c r="N35" s="76"/>
      <c r="O35" s="68"/>
      <c r="P35" s="74"/>
    </row>
    <row r="36" spans="1:16" x14ac:dyDescent="0.25">
      <c r="A36" s="72"/>
      <c r="B36" s="72"/>
      <c r="C36" s="72"/>
      <c r="D36" s="72"/>
      <c r="E36" s="72"/>
      <c r="F36" s="72"/>
      <c r="G36" s="73"/>
      <c r="H36" s="72"/>
      <c r="I36" s="73"/>
      <c r="J36" s="72"/>
      <c r="K36" s="72"/>
      <c r="L36" s="77"/>
      <c r="M36" s="72"/>
      <c r="N36" s="77"/>
      <c r="O36" s="72"/>
      <c r="P36" s="74"/>
    </row>
    <row r="37" spans="1:16" x14ac:dyDescent="0.25">
      <c r="A37" s="68"/>
      <c r="B37" s="68"/>
      <c r="C37" s="68"/>
      <c r="D37" s="68"/>
      <c r="E37" s="68"/>
      <c r="F37" s="68"/>
      <c r="G37" s="69"/>
      <c r="H37" s="68"/>
      <c r="I37" s="69"/>
      <c r="J37" s="68"/>
      <c r="K37" s="68"/>
      <c r="L37" s="76"/>
      <c r="M37" s="68"/>
      <c r="N37" s="76"/>
      <c r="O37" s="68"/>
      <c r="P37" s="74"/>
    </row>
    <row r="38" spans="1:16" x14ac:dyDescent="0.25">
      <c r="A38" s="63"/>
      <c r="B38" s="63"/>
      <c r="C38" s="63"/>
      <c r="D38" s="63"/>
      <c r="E38" s="63"/>
      <c r="F38" s="63"/>
      <c r="G38" s="62"/>
      <c r="H38" s="63"/>
      <c r="I38" s="62"/>
      <c r="J38" s="63"/>
      <c r="K38" s="63"/>
      <c r="L38" s="63"/>
      <c r="M38" s="63"/>
      <c r="N38" s="63"/>
      <c r="O38" s="63"/>
      <c r="P38" s="63"/>
    </row>
    <row r="39" spans="1:16" x14ac:dyDescent="0.25">
      <c r="A39" s="63"/>
      <c r="B39" s="63"/>
      <c r="C39" s="63"/>
      <c r="D39" s="63"/>
      <c r="E39" s="63"/>
      <c r="F39" s="63"/>
      <c r="G39" s="62"/>
      <c r="H39" s="63"/>
      <c r="I39" s="62"/>
      <c r="J39" s="63"/>
      <c r="K39" s="63"/>
      <c r="L39" s="63"/>
      <c r="M39" s="63"/>
      <c r="N39" s="63"/>
      <c r="O39" s="63"/>
      <c r="P39" s="63"/>
    </row>
    <row r="40" spans="1:16" x14ac:dyDescent="0.25">
      <c r="A40" s="63"/>
      <c r="B40" s="63"/>
      <c r="C40" s="63"/>
      <c r="D40" s="63"/>
      <c r="E40" s="63"/>
      <c r="F40" s="63"/>
      <c r="G40" s="62"/>
      <c r="H40" s="63"/>
      <c r="I40" s="62"/>
      <c r="J40" s="63"/>
      <c r="K40" s="63"/>
      <c r="L40" s="63"/>
      <c r="M40" s="63"/>
      <c r="N40" s="63"/>
      <c r="O40" s="63"/>
      <c r="P40" s="63"/>
    </row>
    <row r="41" spans="1:16" x14ac:dyDescent="0.25">
      <c r="A41" s="63"/>
      <c r="B41" s="63"/>
      <c r="C41" s="63"/>
      <c r="D41" s="63"/>
      <c r="E41" s="63"/>
      <c r="F41" s="63"/>
      <c r="G41" s="62"/>
      <c r="H41" s="63"/>
      <c r="I41" s="62"/>
      <c r="J41" s="63"/>
      <c r="K41" s="63"/>
      <c r="L41" s="63"/>
      <c r="M41" s="63"/>
      <c r="N41" s="63"/>
      <c r="O41" s="63"/>
      <c r="P41" s="63"/>
    </row>
    <row r="42" spans="1:16" x14ac:dyDescent="0.25">
      <c r="A42" s="63"/>
      <c r="B42" s="63"/>
      <c r="C42" s="63"/>
      <c r="D42" s="63"/>
      <c r="E42" s="63"/>
      <c r="F42" s="63"/>
      <c r="G42" s="62"/>
      <c r="H42" s="63"/>
      <c r="I42" s="62"/>
      <c r="J42" s="63"/>
      <c r="K42" s="63"/>
      <c r="L42" s="63"/>
      <c r="M42" s="63"/>
      <c r="N42" s="63"/>
      <c r="O42" s="63"/>
      <c r="P42" s="63"/>
    </row>
  </sheetData>
  <autoFilter ref="A8:P8"/>
  <mergeCells count="15">
    <mergeCell ref="A1:P1"/>
    <mergeCell ref="A2:P2"/>
    <mergeCell ref="A3:P3"/>
    <mergeCell ref="A4:B4"/>
    <mergeCell ref="C4:D4"/>
    <mergeCell ref="E4:F4"/>
    <mergeCell ref="G4:H4"/>
    <mergeCell ref="I4:J4"/>
    <mergeCell ref="K4:L4"/>
    <mergeCell ref="A5:P5"/>
    <mergeCell ref="A6:B6"/>
    <mergeCell ref="C6:D6"/>
    <mergeCell ref="E6:F6"/>
    <mergeCell ref="G6:H6"/>
    <mergeCell ref="A7:P7"/>
  </mergeCells>
  <dataValidations count="14">
    <dataValidation type="list" allowBlank="1" sqref="B10:B37">
      <formula1>'_LOOKUPS'!$L$2:$L$3</formula1>
    </dataValidation>
    <dataValidation type="list" allowBlank="1" sqref="B9:B37">
      <formula1>'_LOOKUPS'!$L$2:$L$3</formula1>
    </dataValidation>
    <dataValidation type="list" allowBlank="1" sqref="H10:H37">
      <formula1>'_LOOKUPS'!$B$2:$B$6</formula1>
    </dataValidation>
    <dataValidation type="list" allowBlank="1" sqref="H9:H37">
      <formula1>'_LOOKUPS'!$B$2:$B$6</formula1>
    </dataValidation>
    <dataValidation type="list" allowBlank="1" sqref="K10:K37">
      <formula1>'_LOOKUPS'!$N$2:$N$51</formula1>
    </dataValidation>
    <dataValidation type="list" allowBlank="1" sqref="K9:K37">
      <formula1>'_LOOKUPS'!$N$2:$N$51</formula1>
    </dataValidation>
    <dataValidation type="list" allowBlank="1" sqref="L10:L37">
      <formula1>'_LOOKUPS'!$A$2:$A$3</formula1>
    </dataValidation>
    <dataValidation type="list" allowBlank="1" sqref="L9:L37">
      <formula1>'_LOOKUPS'!$A$2:$A$3</formula1>
    </dataValidation>
    <dataValidation type="whole" operator="greaterThan" allowBlank="1" sqref="M10:M37">
      <formula1>0</formula1>
    </dataValidation>
    <dataValidation type="whole" operator="greaterThan" allowBlank="1" sqref="M9:M37">
      <formula1>0</formula1>
    </dataValidation>
    <dataValidation type="list" allowBlank="1" sqref="N10:N37">
      <formula1>'_LOOKUPS'!$A$2:$A$3</formula1>
    </dataValidation>
    <dataValidation type="list" allowBlank="1" sqref="N9:N37">
      <formula1>'_LOOKUPS'!$A$2:$A$3</formula1>
    </dataValidation>
    <dataValidation type="whole" operator="greaterThan" allowBlank="1" sqref="O10:O37">
      <formula1>0</formula1>
    </dataValidation>
    <dataValidation type="whole" operator="greaterThan" allowBlank="1" sqref="O9:O37">
      <formula1>0</formula1>
    </dataValidation>
  </dataValidations>
  <hyperlinks>
    <hyperlink ref="A4" r:id="rId1" tooltip="Back to HOME -&gt; HOME" location="#'HOME'!A1"/>
    <hyperlink ref="C4" r:id="rId2" tooltip="Guide -&gt; README" location="#'README'!A1"/>
    <hyperlink ref="E4" r:id="rId3" tooltip="Prev: Projects -&gt; PROJECTS" location="#'PROJECTS'!A1"/>
    <hyperlink ref="G4" r:id="rId4" tooltip="Next: Contact -&gt; CONTACT" location="#'CONTACT'!A1"/>
    <hyperlink ref="I4" r:id="rId5" tooltip="Testimonial Sources -&gt; TESTIMONIAL_SOURCES" location="#'TESTIMONIAL_SOURCES'!A8"/>
    <hyperlink ref="K4" r:id="rId6" tooltip="Assets -&gt; ASSETS" location="#'ASSETS'!A8"/>
    <hyperlink ref="B9" r:id="rId7" tooltip="fiverr -&gt; TESTIMONIAL_SOURCES" location="#'TESTIMONIAL_SOURCES'!A9"/>
    <hyperlink ref="K9" r:id="rId8" tooltip="testimonial-client8 -&gt; ASSETS" location="#'ASSETS'!A32"/>
    <hyperlink ref="B10" r:id="rId9" tooltip="fiverr -&gt; TESTIMONIAL_SOURCES" location="#'TESTIMONIAL_SOURCES'!A9"/>
    <hyperlink ref="K10" r:id="rId10" tooltip="testimonial-client13 -&gt; ASSETS" location="#'ASSETS'!A40"/>
    <hyperlink ref="B11" r:id="rId11" tooltip="fiverr -&gt; TESTIMONIAL_SOURCES" location="#'TESTIMONIAL_SOURCES'!A9"/>
    <hyperlink ref="K11" r:id="rId12" tooltip="testimonial-client14 -&gt; ASSETS" location="#'ASSETS'!A41"/>
    <hyperlink ref="B12" r:id="rId13" tooltip="fiverr -&gt; TESTIMONIAL_SOURCES" location="#'TESTIMONIAL_SOURCES'!A9"/>
    <hyperlink ref="K12" r:id="rId14" tooltip="testimonial-client2 -&gt; ASSETS" location="#'ASSETS'!A26"/>
    <hyperlink ref="B13" r:id="rId15" tooltip="fiverr -&gt; TESTIMONIAL_SOURCES" location="#'TESTIMONIAL_SOURCES'!A9"/>
    <hyperlink ref="K13" r:id="rId16" tooltip="testimonial-client12 -&gt; ASSETS" location="#'ASSETS'!A39"/>
    <hyperlink ref="B14" r:id="rId17" tooltip="fiverr -&gt; TESTIMONIAL_SOURCES" location="#'TESTIMONIAL_SOURCES'!A9"/>
    <hyperlink ref="K14" r:id="rId18" tooltip="testimonial-client15 -&gt; ASSETS" location="#'ASSETS'!A42"/>
    <hyperlink ref="B15" r:id="rId19" tooltip="fiverr -&gt; TESTIMONIAL_SOURCES" location="#'TESTIMONIAL_SOURCES'!A9"/>
    <hyperlink ref="K15" r:id="rId20" tooltip="testimonial-client5 -&gt; ASSETS" location="#'ASSETS'!A29"/>
    <hyperlink ref="B16" r:id="rId21" tooltip="fiverr -&gt; TESTIMONIAL_SOURCES" location="#'TESTIMONIAL_SOURCES'!A9"/>
    <hyperlink ref="K16" r:id="rId22" tooltip="testimonial-pack-leaf -&gt; ASSETS" location="#'ASSETS'!A36"/>
    <hyperlink ref="B17" r:id="rId23" tooltip="fiverr -&gt; TESTIMONIAL_SOURCES" location="#'TESTIMONIAL_SOURCES'!A9"/>
    <hyperlink ref="K17" r:id="rId24" tooltip="testimonial-client8 -&gt; ASSETS" location="#'ASSETS'!A32"/>
    <hyperlink ref="B18" r:id="rId25" tooltip="fiverr -&gt; TESTIMONIAL_SOURCES" location="#'TESTIMONIAL_SOURCES'!A9"/>
    <hyperlink ref="K18" r:id="rId26" tooltip="testimonial-pack-av -&gt; ASSETS" location="#'ASSETS'!A37"/>
    <hyperlink ref="B19" r:id="rId27" tooltip="fiverr -&gt; TESTIMONIAL_SOURCES" location="#'TESTIMONIAL_SOURCES'!A9"/>
    <hyperlink ref="K19" r:id="rId28" tooltip="testimonial-client3 -&gt; ASSETS" location="#'ASSETS'!A25"/>
    <hyperlink ref="B20" r:id="rId29" tooltip="fiverr -&gt; TESTIMONIAL_SOURCES" location="#'TESTIMONIAL_SOURCES'!A9"/>
    <hyperlink ref="K20" r:id="rId30" tooltip="testimonial-pack-signature -&gt; ASSETS" location="#'ASSETS'!A38"/>
    <hyperlink ref="B21" r:id="rId31" tooltip="fiverr -&gt; TESTIMONIAL_SOURCES" location="#'TESTIMONIAL_SOURCES'!A9"/>
    <hyperlink ref="K21" r:id="rId32" tooltip="testimonial-client4 -&gt; ASSETS" location="#'ASSETS'!A28"/>
    <hyperlink ref="B22" r:id="rId33" tooltip="fiverr -&gt; TESTIMONIAL_SOURCES" location="#'TESTIMONIAL_SOURCES'!A9"/>
    <hyperlink ref="K22" r:id="rId34" tooltip="testimonial-client7 -&gt; ASSETS" location="#'ASSETS'!A31"/>
    <hyperlink ref="B23" r:id="rId35" tooltip="fiverr -&gt; TESTIMONIAL_SOURCES" location="#'TESTIMONIAL_SOURCES'!A9"/>
    <hyperlink ref="K23" r:id="rId36" tooltip="testimonial-client6 -&gt; ASSETS" location="#'ASSETS'!A30"/>
    <hyperlink ref="B24" r:id="rId37" tooltip="fiverr -&gt; TESTIMONIAL_SOURCES" location="#'TESTIMONIAL_SOURCES'!A9"/>
    <hyperlink ref="K24" r:id="rId38" tooltip="testimonial-client11 -&gt; ASSETS" location="#'ASSETS'!A35"/>
    <hyperlink ref="B25" r:id="rId39" tooltip="fiverr -&gt; TESTIMONIAL_SOURCES" location="#'TESTIMONIAL_SOURCES'!A9"/>
    <hyperlink ref="K25" r:id="rId40" tooltip="testimonial-client1 -&gt; ASSETS" location="#'ASSETS'!A27"/>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8BDF8"/>
  </sheetPr>
  <dimension ref="A1:Q20"/>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26" style="53" customWidth="1"/>
    <col min="2" max="3" width="20" style="53" customWidth="1"/>
    <col min="4" max="4" width="72" style="54" customWidth="1"/>
    <col min="5" max="5" width="24" style="53" customWidth="1"/>
    <col min="6" max="6" width="34" style="53" customWidth="1"/>
    <col min="7" max="7" width="24" style="53" customWidth="1"/>
    <col min="8" max="8" width="28" style="53" customWidth="1"/>
    <col min="9" max="9" width="24" style="53" customWidth="1"/>
    <col min="10" max="10" width="28" style="53" customWidth="1"/>
    <col min="11" max="11" width="26" style="53" customWidth="1"/>
    <col min="12" max="12" width="36" style="54" customWidth="1"/>
    <col min="13" max="16" width="24" style="53" customWidth="1"/>
    <col min="17" max="17" width="20" style="53" customWidth="1"/>
  </cols>
  <sheetData>
    <row r="1" ht="28" customHeight="1" spans="1:17" x14ac:dyDescent="0.25">
      <c r="A1" s="55" t="s">
        <v>79</v>
      </c>
      <c r="B1" s="55"/>
      <c r="C1" s="55"/>
      <c r="D1" s="55"/>
      <c r="E1" s="55"/>
      <c r="F1" s="55"/>
      <c r="G1" s="55"/>
      <c r="H1" s="55"/>
      <c r="I1" s="55"/>
      <c r="J1" s="55"/>
      <c r="K1" s="55"/>
      <c r="L1" s="55"/>
      <c r="M1" s="55"/>
      <c r="N1" s="55"/>
      <c r="O1" s="55"/>
      <c r="P1" s="55"/>
      <c r="Q1" s="55"/>
    </row>
    <row r="2" ht="22" customHeight="1" spans="1:17" x14ac:dyDescent="0.25">
      <c r="A2" s="56" t="s">
        <v>411</v>
      </c>
      <c r="B2" s="56"/>
      <c r="C2" s="56"/>
      <c r="D2" s="56"/>
      <c r="E2" s="56"/>
      <c r="F2" s="56"/>
      <c r="G2" s="56"/>
      <c r="H2" s="56"/>
      <c r="I2" s="56"/>
      <c r="J2" s="56"/>
      <c r="K2" s="56"/>
      <c r="L2" s="56"/>
      <c r="M2" s="56"/>
      <c r="N2" s="56"/>
      <c r="O2" s="56"/>
      <c r="P2" s="56"/>
      <c r="Q2" s="56"/>
    </row>
    <row r="3" ht="20" customHeight="1" spans="1:17" x14ac:dyDescent="0.25">
      <c r="A3" s="80" t="s">
        <v>193</v>
      </c>
      <c r="B3" s="80"/>
      <c r="C3" s="80"/>
      <c r="D3" s="80"/>
      <c r="E3" s="80"/>
      <c r="F3" s="80"/>
      <c r="G3" s="80"/>
      <c r="H3" s="80"/>
      <c r="I3" s="80"/>
      <c r="J3" s="80"/>
      <c r="K3" s="80"/>
      <c r="L3" s="80"/>
      <c r="M3" s="80"/>
      <c r="N3" s="80"/>
      <c r="O3" s="80"/>
      <c r="P3" s="80"/>
      <c r="Q3" s="80"/>
    </row>
    <row r="4" ht="20" customHeight="1" spans="1:17" x14ac:dyDescent="0.25">
      <c r="A4" s="22" t="s">
        <v>61</v>
      </c>
      <c r="B4" s="22"/>
      <c r="C4" s="22" t="s">
        <v>194</v>
      </c>
      <c r="D4" s="22"/>
      <c r="E4" s="22" t="s">
        <v>412</v>
      </c>
      <c r="F4" s="22"/>
      <c r="G4" s="22" t="s">
        <v>413</v>
      </c>
      <c r="H4" s="22"/>
      <c r="I4" s="22" t="s">
        <v>51</v>
      </c>
      <c r="J4" s="22"/>
      <c r="K4" s="22" t="s">
        <v>56</v>
      </c>
      <c r="L4" s="22"/>
      <c r="M4" s="22" t="s">
        <v>58</v>
      </c>
      <c r="N4" s="22"/>
      <c r="O4" s="63"/>
      <c r="P4" s="63"/>
      <c r="Q4" s="63"/>
    </row>
    <row r="5" ht="20" customHeight="1" spans="1:17" x14ac:dyDescent="0.25">
      <c r="A5" s="4" t="s">
        <v>197</v>
      </c>
      <c r="B5" s="4"/>
      <c r="C5" s="4"/>
      <c r="D5" s="4"/>
      <c r="E5" s="4"/>
      <c r="F5" s="4"/>
      <c r="G5" s="4"/>
      <c r="H5" s="4"/>
      <c r="I5" s="4"/>
      <c r="J5" s="4"/>
      <c r="K5" s="4"/>
      <c r="L5" s="4"/>
      <c r="M5" s="4"/>
      <c r="N5" s="4"/>
      <c r="O5" s="4"/>
      <c r="P5" s="4"/>
      <c r="Q5" s="4"/>
    </row>
    <row r="6" ht="18" customHeight="1" spans="1:17" x14ac:dyDescent="0.25">
      <c r="A6" s="58" t="s">
        <v>198</v>
      </c>
      <c r="B6" s="58"/>
      <c r="C6" s="59" t="s">
        <v>199</v>
      </c>
      <c r="D6" s="59"/>
      <c r="E6" s="60" t="s">
        <v>200</v>
      </c>
      <c r="F6" s="60"/>
      <c r="G6" s="61" t="s">
        <v>201</v>
      </c>
      <c r="H6" s="61"/>
      <c r="I6" s="63"/>
      <c r="J6" s="63"/>
      <c r="K6" s="63"/>
      <c r="L6" s="62"/>
      <c r="M6" s="63"/>
      <c r="N6" s="63"/>
      <c r="O6" s="63"/>
      <c r="P6" s="63"/>
      <c r="Q6" s="63"/>
    </row>
    <row r="7" ht="22" customHeight="1" spans="1:17" x14ac:dyDescent="0.25">
      <c r="A7" s="64" t="s">
        <v>202</v>
      </c>
      <c r="B7" s="64"/>
      <c r="C7" s="64"/>
      <c r="D7" s="64"/>
      <c r="E7" s="64"/>
      <c r="F7" s="64"/>
      <c r="G7" s="64"/>
      <c r="H7" s="64"/>
      <c r="I7" s="64"/>
      <c r="J7" s="64"/>
      <c r="K7" s="64"/>
      <c r="L7" s="64"/>
      <c r="M7" s="64"/>
      <c r="N7" s="64"/>
      <c r="O7" s="64"/>
      <c r="P7" s="64"/>
      <c r="Q7" s="64"/>
    </row>
    <row r="8" spans="1:17" x14ac:dyDescent="0.25">
      <c r="A8" s="65" t="s">
        <v>414</v>
      </c>
      <c r="B8" s="65" t="s">
        <v>415</v>
      </c>
      <c r="C8" s="65" t="s">
        <v>416</v>
      </c>
      <c r="D8" s="65" t="s">
        <v>236</v>
      </c>
      <c r="E8" s="65" t="s">
        <v>417</v>
      </c>
      <c r="F8" s="65" t="s">
        <v>418</v>
      </c>
      <c r="G8" s="65" t="s">
        <v>419</v>
      </c>
      <c r="H8" s="65" t="s">
        <v>420</v>
      </c>
      <c r="I8" s="65" t="s">
        <v>421</v>
      </c>
      <c r="J8" s="65" t="s">
        <v>422</v>
      </c>
      <c r="K8" s="65" t="s">
        <v>423</v>
      </c>
      <c r="L8" s="65" t="s">
        <v>424</v>
      </c>
      <c r="M8" s="65" t="s">
        <v>425</v>
      </c>
      <c r="N8" s="65" t="s">
        <v>426</v>
      </c>
      <c r="O8" s="65" t="s">
        <v>427</v>
      </c>
      <c r="P8" s="65" t="s">
        <v>428</v>
      </c>
      <c r="Q8" s="67" t="s">
        <v>216</v>
      </c>
    </row>
    <row r="9" ht="50" customHeight="1" spans="1:17" x14ac:dyDescent="0.25">
      <c r="A9" s="68" t="s">
        <v>429</v>
      </c>
      <c r="B9" s="68" t="s">
        <v>430</v>
      </c>
      <c r="C9" s="68" t="s">
        <v>431</v>
      </c>
      <c r="D9" s="69" t="s">
        <v>432</v>
      </c>
      <c r="E9" s="68" t="s">
        <v>433</v>
      </c>
      <c r="F9" s="68" t="s">
        <v>434</v>
      </c>
      <c r="G9" s="68" t="s">
        <v>435</v>
      </c>
      <c r="H9" s="68" t="s">
        <v>436</v>
      </c>
      <c r="I9" s="68" t="s">
        <v>437</v>
      </c>
      <c r="J9" s="68" t="s">
        <v>438</v>
      </c>
      <c r="K9" s="68" t="s">
        <v>439</v>
      </c>
      <c r="L9" s="69" t="s">
        <v>440</v>
      </c>
      <c r="M9" s="68" t="s">
        <v>441</v>
      </c>
      <c r="N9" s="68" t="s">
        <v>442</v>
      </c>
      <c r="O9" s="68" t="s">
        <v>443</v>
      </c>
      <c r="P9" s="68" t="s">
        <v>444</v>
      </c>
      <c r="Q9" s="71" t="s">
        <v>228</v>
      </c>
    </row>
    <row r="10" spans="1:17" x14ac:dyDescent="0.25">
      <c r="A10" s="72"/>
      <c r="B10" s="72"/>
      <c r="C10" s="72"/>
      <c r="D10" s="73"/>
      <c r="E10" s="72"/>
      <c r="F10" s="72"/>
      <c r="G10" s="72"/>
      <c r="H10" s="72"/>
      <c r="I10" s="72"/>
      <c r="J10" s="72"/>
      <c r="K10" s="72"/>
      <c r="L10" s="73"/>
      <c r="M10" s="72"/>
      <c r="N10" s="72"/>
      <c r="O10" s="72"/>
      <c r="P10" s="72"/>
      <c r="Q10" s="74"/>
    </row>
    <row r="11" spans="1:17" x14ac:dyDescent="0.25">
      <c r="A11" s="68"/>
      <c r="B11" s="68"/>
      <c r="C11" s="68"/>
      <c r="D11" s="69"/>
      <c r="E11" s="68"/>
      <c r="F11" s="68"/>
      <c r="G11" s="68"/>
      <c r="H11" s="68"/>
      <c r="I11" s="68"/>
      <c r="J11" s="68"/>
      <c r="K11" s="68"/>
      <c r="L11" s="69"/>
      <c r="M11" s="68"/>
      <c r="N11" s="68"/>
      <c r="O11" s="68"/>
      <c r="P11" s="68"/>
      <c r="Q11" s="74"/>
    </row>
    <row r="12" spans="1:17" x14ac:dyDescent="0.25">
      <c r="A12" s="72"/>
      <c r="B12" s="72"/>
      <c r="C12" s="72"/>
      <c r="D12" s="73"/>
      <c r="E12" s="72"/>
      <c r="F12" s="72"/>
      <c r="G12" s="72"/>
      <c r="H12" s="72"/>
      <c r="I12" s="72"/>
      <c r="J12" s="72"/>
      <c r="K12" s="72"/>
      <c r="L12" s="73"/>
      <c r="M12" s="72"/>
      <c r="N12" s="72"/>
      <c r="O12" s="72"/>
      <c r="P12" s="72"/>
      <c r="Q12" s="74"/>
    </row>
    <row r="13" spans="1:17" x14ac:dyDescent="0.25">
      <c r="A13" s="68"/>
      <c r="B13" s="68"/>
      <c r="C13" s="68"/>
      <c r="D13" s="69"/>
      <c r="E13" s="68"/>
      <c r="F13" s="68"/>
      <c r="G13" s="68"/>
      <c r="H13" s="68"/>
      <c r="I13" s="68"/>
      <c r="J13" s="68"/>
      <c r="K13" s="68"/>
      <c r="L13" s="69"/>
      <c r="M13" s="68"/>
      <c r="N13" s="68"/>
      <c r="O13" s="68"/>
      <c r="P13" s="68"/>
      <c r="Q13" s="74"/>
    </row>
    <row r="14" spans="1:17" x14ac:dyDescent="0.25">
      <c r="A14" s="63"/>
      <c r="B14" s="63"/>
      <c r="C14" s="63"/>
      <c r="D14" s="62"/>
      <c r="E14" s="63"/>
      <c r="F14" s="63"/>
      <c r="G14" s="63"/>
      <c r="H14" s="63"/>
      <c r="I14" s="63"/>
      <c r="J14" s="63"/>
      <c r="K14" s="63"/>
      <c r="L14" s="62"/>
      <c r="M14" s="63"/>
      <c r="N14" s="63"/>
      <c r="O14" s="63"/>
      <c r="P14" s="63"/>
      <c r="Q14" s="63"/>
    </row>
    <row r="15" spans="1:17" x14ac:dyDescent="0.25">
      <c r="A15" s="63"/>
      <c r="B15" s="63"/>
      <c r="C15" s="63"/>
      <c r="D15" s="62"/>
      <c r="E15" s="63"/>
      <c r="F15" s="63"/>
      <c r="G15" s="63"/>
      <c r="H15" s="63"/>
      <c r="I15" s="63"/>
      <c r="J15" s="63"/>
      <c r="K15" s="63"/>
      <c r="L15" s="62"/>
      <c r="M15" s="63"/>
      <c r="N15" s="63"/>
      <c r="O15" s="63"/>
      <c r="P15" s="63"/>
      <c r="Q15" s="63"/>
    </row>
    <row r="16" spans="1:17" x14ac:dyDescent="0.25">
      <c r="A16" s="63"/>
      <c r="B16" s="63"/>
      <c r="C16" s="63"/>
      <c r="D16" s="62"/>
      <c r="E16" s="63"/>
      <c r="F16" s="63"/>
      <c r="G16" s="63"/>
      <c r="H16" s="63"/>
      <c r="I16" s="63"/>
      <c r="J16" s="63"/>
      <c r="K16" s="63"/>
      <c r="L16" s="62"/>
      <c r="M16" s="63"/>
      <c r="N16" s="63"/>
      <c r="O16" s="63"/>
      <c r="P16" s="63"/>
      <c r="Q16" s="63"/>
    </row>
    <row r="17" spans="1:17" x14ac:dyDescent="0.25">
      <c r="A17" s="63"/>
      <c r="B17" s="63"/>
      <c r="C17" s="63"/>
      <c r="D17" s="62"/>
      <c r="E17" s="63"/>
      <c r="F17" s="63"/>
      <c r="G17" s="63"/>
      <c r="H17" s="63"/>
      <c r="I17" s="63"/>
      <c r="J17" s="63"/>
      <c r="K17" s="63"/>
      <c r="L17" s="62"/>
      <c r="M17" s="63"/>
      <c r="N17" s="63"/>
      <c r="O17" s="63"/>
      <c r="P17" s="63"/>
      <c r="Q17" s="63"/>
    </row>
    <row r="18" spans="1:17" x14ac:dyDescent="0.25">
      <c r="A18" s="63"/>
      <c r="B18" s="63"/>
      <c r="C18" s="63"/>
      <c r="D18" s="62"/>
      <c r="E18" s="63"/>
      <c r="F18" s="63"/>
      <c r="G18" s="63"/>
      <c r="H18" s="63"/>
      <c r="I18" s="63"/>
      <c r="J18" s="63"/>
      <c r="K18" s="63"/>
      <c r="L18" s="62"/>
      <c r="M18" s="63"/>
      <c r="N18" s="63"/>
      <c r="O18" s="63"/>
      <c r="P18" s="63"/>
      <c r="Q18" s="63"/>
    </row>
    <row r="19" spans="1:17" x14ac:dyDescent="0.25">
      <c r="A19" s="63"/>
      <c r="B19" s="63"/>
      <c r="C19" s="63"/>
      <c r="D19" s="62"/>
      <c r="E19" s="63"/>
      <c r="F19" s="63"/>
      <c r="G19" s="63"/>
      <c r="H19" s="63"/>
      <c r="I19" s="63"/>
      <c r="J19" s="63"/>
      <c r="K19" s="63"/>
      <c r="L19" s="62"/>
      <c r="M19" s="63"/>
      <c r="N19" s="63"/>
      <c r="O19" s="63"/>
      <c r="P19" s="63"/>
      <c r="Q19" s="63"/>
    </row>
    <row r="20" spans="1:17" x14ac:dyDescent="0.25">
      <c r="A20" s="63"/>
      <c r="B20" s="63"/>
      <c r="C20" s="63"/>
      <c r="D20" s="62"/>
      <c r="E20" s="63"/>
      <c r="F20" s="63"/>
      <c r="G20" s="63"/>
      <c r="H20" s="63"/>
      <c r="I20" s="63"/>
      <c r="J20" s="63"/>
      <c r="K20" s="63"/>
      <c r="L20" s="62"/>
      <c r="M20" s="63"/>
      <c r="N20" s="63"/>
      <c r="O20" s="63"/>
      <c r="P20" s="63"/>
      <c r="Q20" s="63"/>
    </row>
  </sheetData>
  <autoFilter ref="A8:Q8"/>
  <mergeCells count="16">
    <mergeCell ref="A1:Q1"/>
    <mergeCell ref="A2:Q2"/>
    <mergeCell ref="A3:Q3"/>
    <mergeCell ref="A4:B4"/>
    <mergeCell ref="C4:D4"/>
    <mergeCell ref="E4:F4"/>
    <mergeCell ref="G4:H4"/>
    <mergeCell ref="I4:J4"/>
    <mergeCell ref="K4:L4"/>
    <mergeCell ref="M4:N4"/>
    <mergeCell ref="A5:Q5"/>
    <mergeCell ref="A6:B6"/>
    <mergeCell ref="C6:D6"/>
    <mergeCell ref="E6:F6"/>
    <mergeCell ref="G6:H6"/>
    <mergeCell ref="A7:Q7"/>
  </mergeCells>
  <hyperlinks>
    <hyperlink ref="A4" r:id="rId1" tooltip="Back to HOME -&gt; HOME" location="#'HOME'!A1"/>
    <hyperlink ref="C4" r:id="rId2" tooltip="Guide -&gt; README" location="#'README'!A1"/>
    <hyperlink ref="E4" r:id="rId3" tooltip="Prev: Testimonials -&gt; TESTIMONIALS" location="#'TESTIMONIALS'!A1"/>
    <hyperlink ref="G4" r:id="rId4" tooltip="Next: Assets -&gt; ASSETS" location="#'ASSETS'!A1"/>
    <hyperlink ref="I4" r:id="rId5" tooltip="Contact Social -&gt; CONTACT_SOCIAL" location="#'CONTACT_SOCIAL'!A8"/>
    <hyperlink ref="K4" r:id="rId6" tooltip="Contact Metadata -&gt; CONTACT_METADATA" location="#'CONTACT_METADATA'!A8"/>
    <hyperlink ref="M4" r:id="rId7" tooltip="Footer -&gt; FOOTER" location="#'FOOTER'!A8"/>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5CF6"/>
  </sheetPr>
  <dimension ref="A1:N73"/>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28" style="53" customWidth="1"/>
    <col min="2" max="2" width="14" style="53" customWidth="1"/>
    <col min="3" max="3" width="18" style="53" customWidth="1"/>
    <col min="4" max="4" width="58" style="54" customWidth="1"/>
    <col min="5" max="5" width="46" style="54" customWidth="1"/>
    <col min="6" max="6" width="32" style="53" customWidth="1"/>
    <col min="7" max="7" width="46" style="54" customWidth="1"/>
    <col min="8" max="8" width="12" style="53" customWidth="1"/>
    <col min="9" max="9" width="42" style="54" customWidth="1"/>
    <col min="10" max="11" width="18" style="53" customWidth="1"/>
    <col min="12" max="12" width="32" style="54" customWidth="1"/>
    <col min="13" max="13" width="18" style="53" customWidth="1"/>
    <col min="14" max="14" width="32" style="53" customWidth="1"/>
  </cols>
  <sheetData>
    <row r="1" ht="28" customHeight="1" spans="1:14" x14ac:dyDescent="0.25">
      <c r="A1" s="55" t="s">
        <v>63</v>
      </c>
      <c r="B1" s="55"/>
      <c r="C1" s="55"/>
      <c r="D1" s="55"/>
      <c r="E1" s="55"/>
      <c r="F1" s="55"/>
      <c r="G1" s="55"/>
      <c r="H1" s="55"/>
      <c r="I1" s="55"/>
      <c r="J1" s="55"/>
      <c r="K1" s="55"/>
      <c r="L1" s="55"/>
      <c r="M1" s="55"/>
      <c r="N1" s="55"/>
    </row>
    <row r="2" ht="22" customHeight="1" spans="1:14" x14ac:dyDescent="0.25">
      <c r="A2" s="56" t="s">
        <v>445</v>
      </c>
      <c r="B2" s="56"/>
      <c r="C2" s="56"/>
      <c r="D2" s="56"/>
      <c r="E2" s="56"/>
      <c r="F2" s="56"/>
      <c r="G2" s="56"/>
      <c r="H2" s="56"/>
      <c r="I2" s="56"/>
      <c r="J2" s="56"/>
      <c r="K2" s="56"/>
      <c r="L2" s="56"/>
      <c r="M2" s="56"/>
      <c r="N2" s="56"/>
    </row>
    <row r="3" ht="20" customHeight="1" spans="1:14" x14ac:dyDescent="0.25">
      <c r="A3" s="81" t="s">
        <v>193</v>
      </c>
      <c r="B3" s="81"/>
      <c r="C3" s="81"/>
      <c r="D3" s="81"/>
      <c r="E3" s="81"/>
      <c r="F3" s="81"/>
      <c r="G3" s="81"/>
      <c r="H3" s="81"/>
      <c r="I3" s="81"/>
      <c r="J3" s="81"/>
      <c r="K3" s="81"/>
      <c r="L3" s="81"/>
      <c r="M3" s="81"/>
      <c r="N3" s="81"/>
    </row>
    <row r="4" ht="20" customHeight="1" spans="1:14" x14ac:dyDescent="0.25">
      <c r="A4" s="24" t="s">
        <v>61</v>
      </c>
      <c r="B4" s="24"/>
      <c r="C4" s="24" t="s">
        <v>194</v>
      </c>
      <c r="D4" s="24"/>
      <c r="E4" s="24" t="s">
        <v>446</v>
      </c>
      <c r="F4" s="24"/>
      <c r="G4" s="24" t="s">
        <v>447</v>
      </c>
      <c r="H4" s="24"/>
      <c r="I4" s="24" t="s">
        <v>80</v>
      </c>
      <c r="J4" s="24"/>
      <c r="K4" s="24" t="s">
        <v>29</v>
      </c>
      <c r="L4" s="24"/>
      <c r="M4" s="24" t="s">
        <v>30</v>
      </c>
      <c r="N4" s="24"/>
    </row>
    <row r="5" ht="20" customHeight="1" spans="1:14" x14ac:dyDescent="0.25">
      <c r="A5" s="4" t="s">
        <v>197</v>
      </c>
      <c r="B5" s="4"/>
      <c r="C5" s="4"/>
      <c r="D5" s="4"/>
      <c r="E5" s="4"/>
      <c r="F5" s="4"/>
      <c r="G5" s="4"/>
      <c r="H5" s="4"/>
      <c r="I5" s="4"/>
      <c r="J5" s="4"/>
      <c r="K5" s="4"/>
      <c r="L5" s="4"/>
      <c r="M5" s="4"/>
      <c r="N5" s="4"/>
    </row>
    <row r="6" ht="18" customHeight="1" spans="1:14" x14ac:dyDescent="0.25">
      <c r="A6" s="58" t="s">
        <v>198</v>
      </c>
      <c r="B6" s="58"/>
      <c r="C6" s="59" t="s">
        <v>199</v>
      </c>
      <c r="D6" s="59"/>
      <c r="E6" s="60" t="s">
        <v>200</v>
      </c>
      <c r="F6" s="60"/>
      <c r="G6" s="61" t="s">
        <v>201</v>
      </c>
      <c r="H6" s="61"/>
      <c r="I6" s="62"/>
      <c r="J6" s="63"/>
      <c r="K6" s="63"/>
      <c r="L6" s="62"/>
      <c r="M6" s="63"/>
      <c r="N6" s="63"/>
    </row>
    <row r="7" ht="22" customHeight="1" spans="1:14" x14ac:dyDescent="0.25">
      <c r="A7" s="64" t="s">
        <v>202</v>
      </c>
      <c r="B7" s="64"/>
      <c r="C7" s="64"/>
      <c r="D7" s="64"/>
      <c r="E7" s="64"/>
      <c r="F7" s="64"/>
      <c r="G7" s="64"/>
      <c r="H7" s="64"/>
      <c r="I7" s="64"/>
      <c r="J7" s="64"/>
      <c r="K7" s="64"/>
      <c r="L7" s="64"/>
      <c r="M7" s="64"/>
      <c r="N7" s="64"/>
    </row>
    <row r="8" spans="1:14" x14ac:dyDescent="0.25">
      <c r="A8" s="65" t="s">
        <v>448</v>
      </c>
      <c r="B8" s="65" t="s">
        <v>449</v>
      </c>
      <c r="C8" s="65" t="s">
        <v>450</v>
      </c>
      <c r="D8" s="65" t="s">
        <v>451</v>
      </c>
      <c r="E8" s="66" t="s">
        <v>452</v>
      </c>
      <c r="F8" s="66" t="s">
        <v>453</v>
      </c>
      <c r="G8" s="66" t="s">
        <v>454</v>
      </c>
      <c r="H8" s="65" t="s">
        <v>273</v>
      </c>
      <c r="I8" s="82" t="s">
        <v>455</v>
      </c>
      <c r="J8" s="82" t="s">
        <v>456</v>
      </c>
      <c r="K8" s="82" t="s">
        <v>457</v>
      </c>
      <c r="L8" s="82" t="s">
        <v>458</v>
      </c>
      <c r="M8" s="82" t="s">
        <v>459</v>
      </c>
      <c r="N8" s="67" t="s">
        <v>216</v>
      </c>
    </row>
    <row r="9" spans="1:14" x14ac:dyDescent="0.25">
      <c r="A9" s="68" t="s">
        <v>109</v>
      </c>
      <c r="B9" s="68" t="s">
        <v>100</v>
      </c>
      <c r="C9" s="68" t="s">
        <v>101</v>
      </c>
      <c r="D9" s="69" t="s">
        <v>460</v>
      </c>
      <c r="E9" s="69" t="s">
        <v>460</v>
      </c>
      <c r="F9" s="68" t="s">
        <v>461</v>
      </c>
      <c r="G9" s="69" t="s">
        <v>462</v>
      </c>
      <c r="H9" s="76" t="s">
        <v>98</v>
      </c>
      <c r="I9" s="83" t="str">
        <f>IF($A9="","",IF(UPPER($H9)&lt;&gt;"TRUE","",IF($C9="import_local",IF($E9&lt;&gt;"",$E9,""),IF($C9="external_url",$D9,IF(IF($D9&lt;&gt;"",$D9,$E9)&lt;&gt;"",IF($D9&lt;&gt;"",$D9,$E9),"")))))</f>
        <v>/assets/alberto.webp</v>
      </c>
      <c r="J9" s="24" t="str">
        <f>IF($A9="","",IF(UPPER($H9)&lt;&gt;"TRUE","Disabled",HYPERLINK("http://127.0.0.1:5173/__dev/asset-source"&amp;"?assetId="&amp;ENCODEURL($A9)&amp;"&amp;sig="&amp;ENCODEURL($B9&amp;"|"&amp;$C9&amp;"|"&amp;$D9&amp;"|"&amp;$E9&amp;"|"&amp;$H9),"Open source")))</f>
        <v>Open source</v>
      </c>
      <c r="K9" s="24" t="str">
        <f>IF($A9="","",IF(OR(UPPER($H9)&lt;&gt;"TRUE",$I9=""),"Unavailable",HYPERLINK("http://127.0.0.1:5173/__dev/asset-resolved"&amp;"?assetId="&amp;ENCODEURL($A9)&amp;"&amp;sig="&amp;ENCODEURL($B9&amp;"|"&amp;$C9&amp;"|"&amp;$D9&amp;"|"&amp;$E9&amp;"|"&amp;$H9),"Open resolved")))</f>
        <v>Open resolved</v>
      </c>
      <c r="L9" s="84" t="s">
        <v>463</v>
      </c>
      <c r="M9" s="24" t="str">
        <f>IF($A9="","",HYPERLINK("#'ASSET_PREVIEW'!A9","Open preview"))</f>
        <v>Open preview</v>
      </c>
      <c r="N9" s="85" t="str">
        <f>IF($A9="","",IF(UPPER($H9)&lt;&gt;"TRUE","DISABLED",IF($C9="external_url",IF(OR(LEFT(LOWER($D9),7)="http://",LEFT(LOWER($D9),8)="https://"),"READY -&gt; "&amp;$I9,"NEEDS HTTP URL"),IF($C9="import_local",IF($D9="","NEEDS SOURCE FILE",IF($E9="","NEEDS TARGET PATH","READY -&gt; "&amp;$I9)),IF($C9="existing_public",IF(IF($D9&lt;&gt;"",$D9,$E9)&lt;&gt;"","READY -&gt; "&amp;$I9,"NEEDS PUBLIC PATH"),"CHECK MODE")))))</f>
        <v>READY -&gt; /assets/alberto.webp</v>
      </c>
    </row>
    <row r="10" spans="1:14" x14ac:dyDescent="0.25">
      <c r="A10" s="72" t="s">
        <v>121</v>
      </c>
      <c r="B10" s="72" t="s">
        <v>102</v>
      </c>
      <c r="C10" s="72" t="s">
        <v>101</v>
      </c>
      <c r="D10" s="73" t="s">
        <v>464</v>
      </c>
      <c r="E10" s="73" t="s">
        <v>464</v>
      </c>
      <c r="F10" s="72" t="s">
        <v>465</v>
      </c>
      <c r="G10" s="73" t="s">
        <v>466</v>
      </c>
      <c r="H10" s="77" t="s">
        <v>98</v>
      </c>
      <c r="I10" s="83" t="str">
        <f>IF($A10="","",IF(UPPER($H10)&lt;&gt;"TRUE","",IF($C10="import_local",IF($E10&lt;&gt;"",$E10,""),IF($C10="external_url",$D10,IF(IF($D10&lt;&gt;"",$D10,$E10)&lt;&gt;"",IF($D10&lt;&gt;"",$D10,$E10),"")))))</f>
        <v>/assets/projects/visual-interfaces.mp4</v>
      </c>
      <c r="J10" s="24" t="str">
        <f>IF($A10="","",IF(UPPER($H10)&lt;&gt;"TRUE","Disabled",HYPERLINK("http://127.0.0.1:5173/__dev/asset-source"&amp;"?assetId="&amp;ENCODEURL($A10)&amp;"&amp;sig="&amp;ENCODEURL($B10&amp;"|"&amp;$C10&amp;"|"&amp;$D10&amp;"|"&amp;$E10&amp;"|"&amp;$H10),"Open source")))</f>
        <v>Open source</v>
      </c>
      <c r="K10" s="24" t="str">
        <f>IF($A10="","",IF(OR(UPPER($H10)&lt;&gt;"TRUE",$I10=""),"Unavailable",HYPERLINK("http://127.0.0.1:5173/__dev/asset-resolved"&amp;"?assetId="&amp;ENCODEURL($A10)&amp;"&amp;sig="&amp;ENCODEURL($B10&amp;"|"&amp;$C10&amp;"|"&amp;$D10&amp;"|"&amp;$E10&amp;"|"&amp;$H10),"Open resolved")))</f>
        <v>Open resolved</v>
      </c>
      <c r="L10" s="84" t="s">
        <v>467</v>
      </c>
      <c r="M10" s="24" t="str">
        <f>IF($A10="","",HYPERLINK("#'ASSET_PREVIEW'!A10","Open preview"))</f>
        <v>Open preview</v>
      </c>
      <c r="N10" s="85" t="str">
        <f>IF($A10="","",IF(UPPER($H10)&lt;&gt;"TRUE","DISABLED",IF($C10="external_url",IF(OR(LEFT(LOWER($D10),7)="http://",LEFT(LOWER($D10),8)="https://"),"READY -&gt; "&amp;$I10,"NEEDS HTTP URL"),IF($C10="import_local",IF($D10="","NEEDS SOURCE FILE",IF($E10="","NEEDS TARGET PATH","READY -&gt; "&amp;$I10)),IF($C10="existing_public",IF(IF($D10&lt;&gt;"",$D10,$E10)&lt;&gt;"","READY -&gt; "&amp;$I10,"NEEDS PUBLIC PATH"),"CHECK MODE")))))</f>
        <v>READY -&gt; /assets/projects/visual-interfaces.mp4</v>
      </c>
    </row>
    <row r="11" spans="1:14" x14ac:dyDescent="0.25">
      <c r="A11" s="68" t="s">
        <v>131</v>
      </c>
      <c r="B11" s="68" t="s">
        <v>100</v>
      </c>
      <c r="C11" s="68" t="s">
        <v>101</v>
      </c>
      <c r="D11" s="69" t="s">
        <v>468</v>
      </c>
      <c r="E11" s="69" t="s">
        <v>468</v>
      </c>
      <c r="F11" s="68" t="s">
        <v>469</v>
      </c>
      <c r="G11" s="69" t="s">
        <v>470</v>
      </c>
      <c r="H11" s="76" t="s">
        <v>98</v>
      </c>
      <c r="I11" s="83" t="str">
        <f>IF($A11="","",IF(UPPER($H11)&lt;&gt;"TRUE","",IF($C11="import_local",IF($E11&lt;&gt;"",$E11,""),IF($C11="external_url",$D11,IF(IF($D11&lt;&gt;"",$D11,$E11)&lt;&gt;"",IF($D11&lt;&gt;"",$D11,$E11),"")))))</f>
        <v>/assets/projects/visual-interfaces.png</v>
      </c>
      <c r="J11" s="24" t="str">
        <f>IF($A11="","",IF(UPPER($H11)&lt;&gt;"TRUE","Disabled",HYPERLINK("http://127.0.0.1:5173/__dev/asset-source"&amp;"?assetId="&amp;ENCODEURL($A11)&amp;"&amp;sig="&amp;ENCODEURL($B11&amp;"|"&amp;$C11&amp;"|"&amp;$D11&amp;"|"&amp;$E11&amp;"|"&amp;$H11),"Open source")))</f>
        <v>Open source</v>
      </c>
      <c r="K11" s="24" t="str">
        <f>IF($A11="","",IF(OR(UPPER($H11)&lt;&gt;"TRUE",$I11=""),"Unavailable",HYPERLINK("http://127.0.0.1:5173/__dev/asset-resolved"&amp;"?assetId="&amp;ENCODEURL($A11)&amp;"&amp;sig="&amp;ENCODEURL($B11&amp;"|"&amp;$C11&amp;"|"&amp;$D11&amp;"|"&amp;$E11&amp;"|"&amp;$H11),"Open resolved")))</f>
        <v>Open resolved</v>
      </c>
      <c r="L11" s="84" t="s">
        <v>471</v>
      </c>
      <c r="M11" s="24" t="str">
        <f>IF($A11="","",HYPERLINK("#'ASSET_PREVIEW'!A11","Open preview"))</f>
        <v>Open preview</v>
      </c>
      <c r="N11" s="85" t="str">
        <f>IF($A11="","",IF(UPPER($H11)&lt;&gt;"TRUE","DISABLED",IF($C11="external_url",IF(OR(LEFT(LOWER($D11),7)="http://",LEFT(LOWER($D11),8)="https://"),"READY -&gt; "&amp;$I11,"NEEDS HTTP URL"),IF($C11="import_local",IF($D11="","NEEDS SOURCE FILE",IF($E11="","NEEDS TARGET PATH","READY -&gt; "&amp;$I11)),IF($C11="existing_public",IF(IF($D11&lt;&gt;"",$D11,$E11)&lt;&gt;"","READY -&gt; "&amp;$I11,"NEEDS PUBLIC PATH"),"CHECK MODE")))))</f>
        <v>READY -&gt; /assets/projects/visual-interfaces.png</v>
      </c>
    </row>
    <row r="12" spans="1:14" x14ac:dyDescent="0.25">
      <c r="A12" s="72" t="s">
        <v>139</v>
      </c>
      <c r="B12" s="72" t="s">
        <v>125</v>
      </c>
      <c r="C12" s="72" t="s">
        <v>101</v>
      </c>
      <c r="D12" s="73" t="s">
        <v>472</v>
      </c>
      <c r="E12" s="73" t="s">
        <v>472</v>
      </c>
      <c r="F12" s="72" t="s">
        <v>473</v>
      </c>
      <c r="G12" s="73" t="s">
        <v>474</v>
      </c>
      <c r="H12" s="77" t="s">
        <v>98</v>
      </c>
      <c r="I12" s="83" t="str">
        <f>IF($A12="","",IF(UPPER($H12)&lt;&gt;"TRUE","",IF($C12="import_local",IF($E12&lt;&gt;"",$E12,""),IF($C12="external_url",$D12,IF(IF($D12&lt;&gt;"",$D12,$E12)&lt;&gt;"",IF($D12&lt;&gt;"",$D12,$E12),"")))))</f>
        <v>/assets/projects/unity.webp</v>
      </c>
      <c r="J12" s="24" t="str">
        <f>IF($A12="","",IF(UPPER($H12)&lt;&gt;"TRUE","Disabled",HYPERLINK("http://127.0.0.1:5173/__dev/asset-source"&amp;"?assetId="&amp;ENCODEURL($A12)&amp;"&amp;sig="&amp;ENCODEURL($B12&amp;"|"&amp;$C12&amp;"|"&amp;$D12&amp;"|"&amp;$E12&amp;"|"&amp;$H12),"Open source")))</f>
        <v>Open source</v>
      </c>
      <c r="K12" s="24" t="str">
        <f>IF($A12="","",IF(OR(UPPER($H12)&lt;&gt;"TRUE",$I12=""),"Unavailable",HYPERLINK("http://127.0.0.1:5173/__dev/asset-resolved"&amp;"?assetId="&amp;ENCODEURL($A12)&amp;"&amp;sig="&amp;ENCODEURL($B12&amp;"|"&amp;$C12&amp;"|"&amp;$D12&amp;"|"&amp;$E12&amp;"|"&amp;$H12),"Open resolved")))</f>
        <v>Open resolved</v>
      </c>
      <c r="L12" s="84" t="s">
        <v>475</v>
      </c>
      <c r="M12" s="24" t="str">
        <f>IF($A12="","",HYPERLINK("#'ASSET_PREVIEW'!A12","Open preview"))</f>
        <v>Open preview</v>
      </c>
      <c r="N12" s="85" t="str">
        <f>IF($A12="","",IF(UPPER($H12)&lt;&gt;"TRUE","DISABLED",IF($C12="external_url",IF(OR(LEFT(LOWER($D12),7)="http://",LEFT(LOWER($D12),8)="https://"),"READY -&gt; "&amp;$I12,"NEEDS HTTP URL"),IF($C12="import_local",IF($D12="","NEEDS SOURCE FILE",IF($E12="","NEEDS TARGET PATH","READY -&gt; "&amp;$I12)),IF($C12="existing_public",IF(IF($D12&lt;&gt;"",$D12,$E12)&lt;&gt;"","READY -&gt; "&amp;$I12,"NEEDS PUBLIC PATH"),"CHECK MODE")))))</f>
        <v>READY -&gt; /assets/projects/unity.webp</v>
      </c>
    </row>
    <row r="13" spans="1:14" x14ac:dyDescent="0.25">
      <c r="A13" s="68" t="s">
        <v>143</v>
      </c>
      <c r="B13" s="68" t="s">
        <v>102</v>
      </c>
      <c r="C13" s="68" t="s">
        <v>101</v>
      </c>
      <c r="D13" s="69" t="s">
        <v>476</v>
      </c>
      <c r="E13" s="69" t="s">
        <v>476</v>
      </c>
      <c r="F13" s="68" t="s">
        <v>477</v>
      </c>
      <c r="G13" s="69" t="s">
        <v>478</v>
      </c>
      <c r="H13" s="76" t="s">
        <v>98</v>
      </c>
      <c r="I13" s="83" t="str">
        <f>IF($A13="","",IF(UPPER($H13)&lt;&gt;"TRUE","",IF($C13="import_local",IF($E13&lt;&gt;"",$E13,""),IF($C13="external_url",$D13,IF(IF($D13&lt;&gt;"",$D13,$E13)&lt;&gt;"",IF($D13&lt;&gt;"",$D13,$E13),"")))))</f>
        <v>/assets/projects/zero-touch-ai.mp4</v>
      </c>
      <c r="J13" s="24" t="str">
        <f>IF($A13="","",IF(UPPER($H13)&lt;&gt;"TRUE","Disabled",HYPERLINK("http://127.0.0.1:5173/__dev/asset-source"&amp;"?assetId="&amp;ENCODEURL($A13)&amp;"&amp;sig="&amp;ENCODEURL($B13&amp;"|"&amp;$C13&amp;"|"&amp;$D13&amp;"|"&amp;$E13&amp;"|"&amp;$H13),"Open source")))</f>
        <v>Open source</v>
      </c>
      <c r="K13" s="24" t="str">
        <f>IF($A13="","",IF(OR(UPPER($H13)&lt;&gt;"TRUE",$I13=""),"Unavailable",HYPERLINK("http://127.0.0.1:5173/__dev/asset-resolved"&amp;"?assetId="&amp;ENCODEURL($A13)&amp;"&amp;sig="&amp;ENCODEURL($B13&amp;"|"&amp;$C13&amp;"|"&amp;$D13&amp;"|"&amp;$E13&amp;"|"&amp;$H13),"Open resolved")))</f>
        <v>Open resolved</v>
      </c>
      <c r="L13" s="84" t="s">
        <v>479</v>
      </c>
      <c r="M13" s="24" t="str">
        <f>IF($A13="","",HYPERLINK("#'ASSET_PREVIEW'!A13","Open preview"))</f>
        <v>Open preview</v>
      </c>
      <c r="N13" s="85" t="str">
        <f>IF($A13="","",IF(UPPER($H13)&lt;&gt;"TRUE","DISABLED",IF($C13="external_url",IF(OR(LEFT(LOWER($D13),7)="http://",LEFT(LOWER($D13),8)="https://"),"READY -&gt; "&amp;$I13,"NEEDS HTTP URL"),IF($C13="import_local",IF($D13="","NEEDS SOURCE FILE",IF($E13="","NEEDS TARGET PATH","READY -&gt; "&amp;$I13)),IF($C13="existing_public",IF(IF($D13&lt;&gt;"",$D13,$E13)&lt;&gt;"","READY -&gt; "&amp;$I13,"NEEDS PUBLIC PATH"),"CHECK MODE")))))</f>
        <v>READY -&gt; /assets/projects/zero-touch-ai.mp4</v>
      </c>
    </row>
    <row r="14" spans="1:14" x14ac:dyDescent="0.25">
      <c r="A14" s="72" t="s">
        <v>146</v>
      </c>
      <c r="B14" s="72" t="s">
        <v>100</v>
      </c>
      <c r="C14" s="72" t="s">
        <v>101</v>
      </c>
      <c r="D14" s="73" t="s">
        <v>480</v>
      </c>
      <c r="E14" s="73" t="s">
        <v>480</v>
      </c>
      <c r="F14" s="72" t="s">
        <v>481</v>
      </c>
      <c r="G14" s="73" t="s">
        <v>482</v>
      </c>
      <c r="H14" s="77" t="s">
        <v>98</v>
      </c>
      <c r="I14" s="83" t="str">
        <f>IF($A14="","",IF(UPPER($H14)&lt;&gt;"TRUE","",IF($C14="import_local",IF($E14&lt;&gt;"",$E14,""),IF($C14="external_url",$D14,IF(IF($D14&lt;&gt;"",$D14,$E14)&lt;&gt;"",IF($D14&lt;&gt;"",$D14,$E14),"")))))</f>
        <v>/assets/projects/zero-touch-ai.png</v>
      </c>
      <c r="J14" s="24" t="str">
        <f>IF($A14="","",IF(UPPER($H14)&lt;&gt;"TRUE","Disabled",HYPERLINK("http://127.0.0.1:5173/__dev/asset-source"&amp;"?assetId="&amp;ENCODEURL($A14)&amp;"&amp;sig="&amp;ENCODEURL($B14&amp;"|"&amp;$C14&amp;"|"&amp;$D14&amp;"|"&amp;$E14&amp;"|"&amp;$H14),"Open source")))</f>
        <v>Open source</v>
      </c>
      <c r="K14" s="24" t="str">
        <f>IF($A14="","",IF(OR(UPPER($H14)&lt;&gt;"TRUE",$I14=""),"Unavailable",HYPERLINK("http://127.0.0.1:5173/__dev/asset-resolved"&amp;"?assetId="&amp;ENCODEURL($A14)&amp;"&amp;sig="&amp;ENCODEURL($B14&amp;"|"&amp;$C14&amp;"|"&amp;$D14&amp;"|"&amp;$E14&amp;"|"&amp;$H14),"Open resolved")))</f>
        <v>Open resolved</v>
      </c>
      <c r="L14" s="84" t="s">
        <v>481</v>
      </c>
      <c r="M14" s="24" t="str">
        <f>IF($A14="","",HYPERLINK("#'ASSET_PREVIEW'!A14","Open preview"))</f>
        <v>Open preview</v>
      </c>
      <c r="N14" s="85" t="str">
        <f>IF($A14="","",IF(UPPER($H14)&lt;&gt;"TRUE","DISABLED",IF($C14="external_url",IF(OR(LEFT(LOWER($D14),7)="http://",LEFT(LOWER($D14),8)="https://"),"READY -&gt; "&amp;$I14,"NEEDS HTTP URL"),IF($C14="import_local",IF($D14="","NEEDS SOURCE FILE",IF($E14="","NEEDS TARGET PATH","READY -&gt; "&amp;$I14)),IF($C14="existing_public",IF(IF($D14&lt;&gt;"",$D14,$E14)&lt;&gt;"","READY -&gt; "&amp;$I14,"NEEDS PUBLIC PATH"),"CHECK MODE")))))</f>
        <v>READY -&gt; /assets/projects/zero-touch-ai.png</v>
      </c>
    </row>
    <row r="15" spans="1:14" x14ac:dyDescent="0.25">
      <c r="A15" s="68" t="s">
        <v>148</v>
      </c>
      <c r="B15" s="68" t="s">
        <v>125</v>
      </c>
      <c r="C15" s="68" t="s">
        <v>101</v>
      </c>
      <c r="D15" s="69" t="s">
        <v>483</v>
      </c>
      <c r="E15" s="69" t="s">
        <v>483</v>
      </c>
      <c r="F15" s="68" t="s">
        <v>484</v>
      </c>
      <c r="G15" s="69" t="s">
        <v>485</v>
      </c>
      <c r="H15" s="76" t="s">
        <v>98</v>
      </c>
      <c r="I15" s="83" t="str">
        <f>IF($A15="","",IF(UPPER($H15)&lt;&gt;"TRUE","",IF($C15="import_local",IF($E15&lt;&gt;"",$E15,""),IF($C15="external_url",$D15,IF(IF($D15&lt;&gt;"",$D15,$E15)&lt;&gt;"",IF($D15&lt;&gt;"",$D15,$E15),"")))))</f>
        <v>/assets/projects/outlook-icon.webp</v>
      </c>
      <c r="J15" s="24" t="str">
        <f>IF($A15="","",IF(UPPER($H15)&lt;&gt;"TRUE","Disabled",HYPERLINK("http://127.0.0.1:5173/__dev/asset-source"&amp;"?assetId="&amp;ENCODEURL($A15)&amp;"&amp;sig="&amp;ENCODEURL($B15&amp;"|"&amp;$C15&amp;"|"&amp;$D15&amp;"|"&amp;$E15&amp;"|"&amp;$H15),"Open source")))</f>
        <v>Open source</v>
      </c>
      <c r="K15" s="24" t="str">
        <f>IF($A15="","",IF(OR(UPPER($H15)&lt;&gt;"TRUE",$I15=""),"Unavailable",HYPERLINK("http://127.0.0.1:5173/__dev/asset-resolved"&amp;"?assetId="&amp;ENCODEURL($A15)&amp;"&amp;sig="&amp;ENCODEURL($B15&amp;"|"&amp;$C15&amp;"|"&amp;$D15&amp;"|"&amp;$E15&amp;"|"&amp;$H15),"Open resolved")))</f>
        <v>Open resolved</v>
      </c>
      <c r="L15" s="84" t="s">
        <v>484</v>
      </c>
      <c r="M15" s="24" t="str">
        <f>IF($A15="","",HYPERLINK("#'ASSET_PREVIEW'!A15","Open preview"))</f>
        <v>Open preview</v>
      </c>
      <c r="N15" s="85" t="str">
        <f>IF($A15="","",IF(UPPER($H15)&lt;&gt;"TRUE","DISABLED",IF($C15="external_url",IF(OR(LEFT(LOWER($D15),7)="http://",LEFT(LOWER($D15),8)="https://"),"READY -&gt; "&amp;$I15,"NEEDS HTTP URL"),IF($C15="import_local",IF($D15="","NEEDS SOURCE FILE",IF($E15="","NEEDS TARGET PATH","READY -&gt; "&amp;$I15)),IF($C15="existing_public",IF(IF($D15&lt;&gt;"",$D15,$E15)&lt;&gt;"","READY -&gt; "&amp;$I15,"NEEDS PUBLIC PATH"),"CHECK MODE")))))</f>
        <v>READY -&gt; /assets/projects/outlook-icon.webp</v>
      </c>
    </row>
    <row r="16" spans="1:14" x14ac:dyDescent="0.25">
      <c r="A16" s="72" t="s">
        <v>149</v>
      </c>
      <c r="B16" s="72" t="s">
        <v>102</v>
      </c>
      <c r="C16" s="72" t="s">
        <v>101</v>
      </c>
      <c r="D16" s="73" t="s">
        <v>486</v>
      </c>
      <c r="E16" s="73" t="s">
        <v>486</v>
      </c>
      <c r="F16" s="72" t="s">
        <v>487</v>
      </c>
      <c r="G16" s="73" t="s">
        <v>488</v>
      </c>
      <c r="H16" s="77" t="s">
        <v>98</v>
      </c>
      <c r="I16" s="83" t="str">
        <f>IF($A16="","",IF(UPPER($H16)&lt;&gt;"TRUE","",IF($C16="import_local",IF($E16&lt;&gt;"",$E16,""),IF($C16="external_url",$D16,IF(IF($D16&lt;&gt;"",$D16,$E16)&lt;&gt;"",IF($D16&lt;&gt;"",$D16,$E16),"")))))</f>
        <v>/assets/projects/padel-booking.mp4</v>
      </c>
      <c r="J16" s="24" t="str">
        <f>IF($A16="","",IF(UPPER($H16)&lt;&gt;"TRUE","Disabled",HYPERLINK("http://127.0.0.1:5173/__dev/asset-source"&amp;"?assetId="&amp;ENCODEURL($A16)&amp;"&amp;sig="&amp;ENCODEURL($B16&amp;"|"&amp;$C16&amp;"|"&amp;$D16&amp;"|"&amp;$E16&amp;"|"&amp;$H16),"Open source")))</f>
        <v>Open source</v>
      </c>
      <c r="K16" s="24" t="str">
        <f>IF($A16="","",IF(OR(UPPER($H16)&lt;&gt;"TRUE",$I16=""),"Unavailable",HYPERLINK("http://127.0.0.1:5173/__dev/asset-resolved"&amp;"?assetId="&amp;ENCODEURL($A16)&amp;"&amp;sig="&amp;ENCODEURL($B16&amp;"|"&amp;$C16&amp;"|"&amp;$D16&amp;"|"&amp;$E16&amp;"|"&amp;$H16),"Open resolved")))</f>
        <v>Open resolved</v>
      </c>
      <c r="L16" s="84" t="s">
        <v>489</v>
      </c>
      <c r="M16" s="24" t="str">
        <f>IF($A16="","",HYPERLINK("#'ASSET_PREVIEW'!A16","Open preview"))</f>
        <v>Open preview</v>
      </c>
      <c r="N16" s="85" t="str">
        <f>IF($A16="","",IF(UPPER($H16)&lt;&gt;"TRUE","DISABLED",IF($C16="external_url",IF(OR(LEFT(LOWER($D16),7)="http://",LEFT(LOWER($D16),8)="https://"),"READY -&gt; "&amp;$I16,"NEEDS HTTP URL"),IF($C16="import_local",IF($D16="","NEEDS SOURCE FILE",IF($E16="","NEEDS TARGET PATH","READY -&gt; "&amp;$I16)),IF($C16="existing_public",IF(IF($D16&lt;&gt;"",$D16,$E16)&lt;&gt;"","READY -&gt; "&amp;$I16,"NEEDS PUBLIC PATH"),"CHECK MODE")))))</f>
        <v>READY -&gt; /assets/projects/padel-booking.mp4</v>
      </c>
    </row>
    <row r="17" spans="1:14" x14ac:dyDescent="0.25">
      <c r="A17" s="68" t="s">
        <v>150</v>
      </c>
      <c r="B17" s="68" t="s">
        <v>100</v>
      </c>
      <c r="C17" s="68" t="s">
        <v>101</v>
      </c>
      <c r="D17" s="69" t="s">
        <v>490</v>
      </c>
      <c r="E17" s="69" t="s">
        <v>490</v>
      </c>
      <c r="F17" s="68" t="s">
        <v>491</v>
      </c>
      <c r="G17" s="69" t="s">
        <v>492</v>
      </c>
      <c r="H17" s="76" t="s">
        <v>98</v>
      </c>
      <c r="I17" s="83" t="str">
        <f>IF($A17="","",IF(UPPER($H17)&lt;&gt;"TRUE","",IF($C17="import_local",IF($E17&lt;&gt;"",$E17,""),IF($C17="external_url",$D17,IF(IF($D17&lt;&gt;"",$D17,$E17)&lt;&gt;"",IF($D17&lt;&gt;"",$D17,$E17),"")))))</f>
        <v>/assets/projects/padel-booking.png</v>
      </c>
      <c r="J17" s="24" t="str">
        <f>IF($A17="","",IF(UPPER($H17)&lt;&gt;"TRUE","Disabled",HYPERLINK("http://127.0.0.1:5173/__dev/asset-source"&amp;"?assetId="&amp;ENCODEURL($A17)&amp;"&amp;sig="&amp;ENCODEURL($B17&amp;"|"&amp;$C17&amp;"|"&amp;$D17&amp;"|"&amp;$E17&amp;"|"&amp;$H17),"Open source")))</f>
        <v>Open source</v>
      </c>
      <c r="K17" s="24" t="str">
        <f>IF($A17="","",IF(OR(UPPER($H17)&lt;&gt;"TRUE",$I17=""),"Unavailable",HYPERLINK("http://127.0.0.1:5173/__dev/asset-resolved"&amp;"?assetId="&amp;ENCODEURL($A17)&amp;"&amp;sig="&amp;ENCODEURL($B17&amp;"|"&amp;$C17&amp;"|"&amp;$D17&amp;"|"&amp;$E17&amp;"|"&amp;$H17),"Open resolved")))</f>
        <v>Open resolved</v>
      </c>
      <c r="L17" s="84" t="s">
        <v>493</v>
      </c>
      <c r="M17" s="24" t="str">
        <f>IF($A17="","",HYPERLINK("#'ASSET_PREVIEW'!A17","Open preview"))</f>
        <v>Open preview</v>
      </c>
      <c r="N17" s="85" t="str">
        <f>IF($A17="","",IF(UPPER($H17)&lt;&gt;"TRUE","DISABLED",IF($C17="external_url",IF(OR(LEFT(LOWER($D17),7)="http://",LEFT(LOWER($D17),8)="https://"),"READY -&gt; "&amp;$I17,"NEEDS HTTP URL"),IF($C17="import_local",IF($D17="","NEEDS SOURCE FILE",IF($E17="","NEEDS TARGET PATH","READY -&gt; "&amp;$I17)),IF($C17="existing_public",IF(IF($D17&lt;&gt;"",$D17,$E17)&lt;&gt;"","READY -&gt; "&amp;$I17,"NEEDS PUBLIC PATH"),"CHECK MODE")))))</f>
        <v>READY -&gt; /assets/projects/padel-booking.png</v>
      </c>
    </row>
    <row r="18" spans="1:14" x14ac:dyDescent="0.25">
      <c r="A18" s="72" t="s">
        <v>151</v>
      </c>
      <c r="B18" s="72" t="s">
        <v>125</v>
      </c>
      <c r="C18" s="72" t="s">
        <v>101</v>
      </c>
      <c r="D18" s="73" t="s">
        <v>494</v>
      </c>
      <c r="E18" s="73" t="s">
        <v>494</v>
      </c>
      <c r="F18" s="72" t="s">
        <v>495</v>
      </c>
      <c r="G18" s="73" t="s">
        <v>496</v>
      </c>
      <c r="H18" s="77" t="s">
        <v>98</v>
      </c>
      <c r="I18" s="83" t="str">
        <f>IF($A18="","",IF(UPPER($H18)&lt;&gt;"TRUE","",IF($C18="import_local",IF($E18&lt;&gt;"",$E18,""),IF($C18="external_url",$D18,IF(IF($D18&lt;&gt;"",$D18,$E18)&lt;&gt;"",IF($D18&lt;&gt;"",$D18,$E18),"")))))</f>
        <v>/assets/projects/padel-booking-logo.png</v>
      </c>
      <c r="J18" s="24" t="str">
        <f>IF($A18="","",IF(UPPER($H18)&lt;&gt;"TRUE","Disabled",HYPERLINK("http://127.0.0.1:5173/__dev/asset-source"&amp;"?assetId="&amp;ENCODEURL($A18)&amp;"&amp;sig="&amp;ENCODEURL($B18&amp;"|"&amp;$C18&amp;"|"&amp;$D18&amp;"|"&amp;$E18&amp;"|"&amp;$H18),"Open source")))</f>
        <v>Open source</v>
      </c>
      <c r="K18" s="24" t="str">
        <f>IF($A18="","",IF(OR(UPPER($H18)&lt;&gt;"TRUE",$I18=""),"Unavailable",HYPERLINK("http://127.0.0.1:5173/__dev/asset-resolved"&amp;"?assetId="&amp;ENCODEURL($A18)&amp;"&amp;sig="&amp;ENCODEURL($B18&amp;"|"&amp;$C18&amp;"|"&amp;$D18&amp;"|"&amp;$E18&amp;"|"&amp;$H18),"Open resolved")))</f>
        <v>Open resolved</v>
      </c>
      <c r="L18" s="84" t="s">
        <v>497</v>
      </c>
      <c r="M18" s="24" t="str">
        <f>IF($A18="","",HYPERLINK("#'ASSET_PREVIEW'!A18","Open preview"))</f>
        <v>Open preview</v>
      </c>
      <c r="N18" s="85" t="str">
        <f>IF($A18="","",IF(UPPER($H18)&lt;&gt;"TRUE","DISABLED",IF($C18="external_url",IF(OR(LEFT(LOWER($D18),7)="http://",LEFT(LOWER($D18),8)="https://"),"READY -&gt; "&amp;$I18,"NEEDS HTTP URL"),IF($C18="import_local",IF($D18="","NEEDS SOURCE FILE",IF($E18="","NEEDS TARGET PATH","READY -&gt; "&amp;$I18)),IF($C18="existing_public",IF(IF($D18&lt;&gt;"",$D18,$E18)&lt;&gt;"","READY -&gt; "&amp;$I18,"NEEDS PUBLIC PATH"),"CHECK MODE")))))</f>
        <v>READY -&gt; /assets/projects/padel-booking-logo.png</v>
      </c>
    </row>
    <row r="19" spans="1:14" x14ac:dyDescent="0.25">
      <c r="A19" s="68" t="s">
        <v>152</v>
      </c>
      <c r="B19" s="68" t="s">
        <v>102</v>
      </c>
      <c r="C19" s="68" t="s">
        <v>101</v>
      </c>
      <c r="D19" s="69" t="s">
        <v>498</v>
      </c>
      <c r="E19" s="69" t="s">
        <v>498</v>
      </c>
      <c r="F19" s="68" t="s">
        <v>499</v>
      </c>
      <c r="G19" s="69" t="s">
        <v>500</v>
      </c>
      <c r="H19" s="76" t="s">
        <v>98</v>
      </c>
      <c r="I19" s="83" t="str">
        <f>IF($A19="","",IF(UPPER($H19)&lt;&gt;"TRUE","",IF($C19="import_local",IF($E19&lt;&gt;"",$E19,""),IF($C19="external_url",$D19,IF(IF($D19&lt;&gt;"",$D19,$E19)&lt;&gt;"",IF($D19&lt;&gt;"",$D19,$E19),"")))))</f>
        <v>/assets/projects/twitch-live.mp4</v>
      </c>
      <c r="J19" s="24" t="str">
        <f>IF($A19="","",IF(UPPER($H19)&lt;&gt;"TRUE","Disabled",HYPERLINK("http://127.0.0.1:5173/__dev/asset-source"&amp;"?assetId="&amp;ENCODEURL($A19)&amp;"&amp;sig="&amp;ENCODEURL($B19&amp;"|"&amp;$C19&amp;"|"&amp;$D19&amp;"|"&amp;$E19&amp;"|"&amp;$H19),"Open source")))</f>
        <v>Open source</v>
      </c>
      <c r="K19" s="24" t="str">
        <f>IF($A19="","",IF(OR(UPPER($H19)&lt;&gt;"TRUE",$I19=""),"Unavailable",HYPERLINK("http://127.0.0.1:5173/__dev/asset-resolved"&amp;"?assetId="&amp;ENCODEURL($A19)&amp;"&amp;sig="&amp;ENCODEURL($B19&amp;"|"&amp;$C19&amp;"|"&amp;$D19&amp;"|"&amp;$E19&amp;"|"&amp;$H19),"Open resolved")))</f>
        <v>Open resolved</v>
      </c>
      <c r="L19" s="84" t="s">
        <v>501</v>
      </c>
      <c r="M19" s="24" t="str">
        <f>IF($A19="","",HYPERLINK("#'ASSET_PREVIEW'!A19","Open preview"))</f>
        <v>Open preview</v>
      </c>
      <c r="N19" s="85" t="str">
        <f>IF($A19="","",IF(UPPER($H19)&lt;&gt;"TRUE","DISABLED",IF($C19="external_url",IF(OR(LEFT(LOWER($D19),7)="http://",LEFT(LOWER($D19),8)="https://"),"READY -&gt; "&amp;$I19,"NEEDS HTTP URL"),IF($C19="import_local",IF($D19="","NEEDS SOURCE FILE",IF($E19="","NEEDS TARGET PATH","READY -&gt; "&amp;$I19)),IF($C19="existing_public",IF(IF($D19&lt;&gt;"",$D19,$E19)&lt;&gt;"","READY -&gt; "&amp;$I19,"NEEDS PUBLIC PATH"),"CHECK MODE")))))</f>
        <v>READY -&gt; /assets/projects/twitch-live.mp4</v>
      </c>
    </row>
    <row r="20" spans="1:14" x14ac:dyDescent="0.25">
      <c r="A20" s="72" t="s">
        <v>153</v>
      </c>
      <c r="B20" s="72" t="s">
        <v>100</v>
      </c>
      <c r="C20" s="72" t="s">
        <v>101</v>
      </c>
      <c r="D20" s="73" t="s">
        <v>502</v>
      </c>
      <c r="E20" s="73" t="s">
        <v>502</v>
      </c>
      <c r="F20" s="72" t="s">
        <v>503</v>
      </c>
      <c r="G20" s="73" t="s">
        <v>504</v>
      </c>
      <c r="H20" s="77" t="s">
        <v>98</v>
      </c>
      <c r="I20" s="83" t="str">
        <f>IF($A20="","",IF(UPPER($H20)&lt;&gt;"TRUE","",IF($C20="import_local",IF($E20&lt;&gt;"",$E20,""),IF($C20="external_url",$D20,IF(IF($D20&lt;&gt;"",$D20,$E20)&lt;&gt;"",IF($D20&lt;&gt;"",$D20,$E20),"")))))</f>
        <v>/assets/projects/twitch-live.png</v>
      </c>
      <c r="J20" s="24" t="str">
        <f>IF($A20="","",IF(UPPER($H20)&lt;&gt;"TRUE","Disabled",HYPERLINK("http://127.0.0.1:5173/__dev/asset-source"&amp;"?assetId="&amp;ENCODEURL($A20)&amp;"&amp;sig="&amp;ENCODEURL($B20&amp;"|"&amp;$C20&amp;"|"&amp;$D20&amp;"|"&amp;$E20&amp;"|"&amp;$H20),"Open source")))</f>
        <v>Open source</v>
      </c>
      <c r="K20" s="24" t="str">
        <f>IF($A20="","",IF(OR(UPPER($H20)&lt;&gt;"TRUE",$I20=""),"Unavailable",HYPERLINK("http://127.0.0.1:5173/__dev/asset-resolved"&amp;"?assetId="&amp;ENCODEURL($A20)&amp;"&amp;sig="&amp;ENCODEURL($B20&amp;"|"&amp;$C20&amp;"|"&amp;$D20&amp;"|"&amp;$E20&amp;"|"&amp;$H20),"Open resolved")))</f>
        <v>Open resolved</v>
      </c>
      <c r="L20" s="84" t="s">
        <v>503</v>
      </c>
      <c r="M20" s="24" t="str">
        <f>IF($A20="","",HYPERLINK("#'ASSET_PREVIEW'!A20","Open preview"))</f>
        <v>Open preview</v>
      </c>
      <c r="N20" s="85" t="str">
        <f>IF($A20="","",IF(UPPER($H20)&lt;&gt;"TRUE","DISABLED",IF($C20="external_url",IF(OR(LEFT(LOWER($D20),7)="http://",LEFT(LOWER($D20),8)="https://"),"READY -&gt; "&amp;$I20,"NEEDS HTTP URL"),IF($C20="import_local",IF($D20="","NEEDS SOURCE FILE",IF($E20="","NEEDS TARGET PATH","READY -&gt; "&amp;$I20)),IF($C20="existing_public",IF(IF($D20&lt;&gt;"",$D20,$E20)&lt;&gt;"","READY -&gt; "&amp;$I20,"NEEDS PUBLIC PATH"),"CHECK MODE")))))</f>
        <v>READY -&gt; /assets/projects/twitch-live.png</v>
      </c>
    </row>
    <row r="21" spans="1:14" x14ac:dyDescent="0.25">
      <c r="A21" s="68" t="s">
        <v>154</v>
      </c>
      <c r="B21" s="68" t="s">
        <v>125</v>
      </c>
      <c r="C21" s="68" t="s">
        <v>101</v>
      </c>
      <c r="D21" s="69" t="s">
        <v>505</v>
      </c>
      <c r="E21" s="69" t="s">
        <v>505</v>
      </c>
      <c r="F21" s="68" t="s">
        <v>506</v>
      </c>
      <c r="G21" s="69" t="s">
        <v>507</v>
      </c>
      <c r="H21" s="76" t="s">
        <v>98</v>
      </c>
      <c r="I21" s="83" t="str">
        <f>IF($A21="","",IF(UPPER($H21)&lt;&gt;"TRUE","",IF($C21="import_local",IF($E21&lt;&gt;"",$E21,""),IF($C21="external_url",$D21,IF(IF($D21&lt;&gt;"",$D21,$E21)&lt;&gt;"",IF($D21&lt;&gt;"",$D21,$E21),"")))))</f>
        <v>/assets/projects/twitch-icon.webp</v>
      </c>
      <c r="J21" s="24" t="str">
        <f>IF($A21="","",IF(UPPER($H21)&lt;&gt;"TRUE","Disabled",HYPERLINK("http://127.0.0.1:5173/__dev/asset-source"&amp;"?assetId="&amp;ENCODEURL($A21)&amp;"&amp;sig="&amp;ENCODEURL($B21&amp;"|"&amp;$C21&amp;"|"&amp;$D21&amp;"|"&amp;$E21&amp;"|"&amp;$H21),"Open source")))</f>
        <v>Open source</v>
      </c>
      <c r="K21" s="24" t="str">
        <f>IF($A21="","",IF(OR(UPPER($H21)&lt;&gt;"TRUE",$I21=""),"Unavailable",HYPERLINK("http://127.0.0.1:5173/__dev/asset-resolved"&amp;"?assetId="&amp;ENCODEURL($A21)&amp;"&amp;sig="&amp;ENCODEURL($B21&amp;"|"&amp;$C21&amp;"|"&amp;$D21&amp;"|"&amp;$E21&amp;"|"&amp;$H21),"Open resolved")))</f>
        <v>Open resolved</v>
      </c>
      <c r="L21" s="84" t="s">
        <v>506</v>
      </c>
      <c r="M21" s="24" t="str">
        <f>IF($A21="","",HYPERLINK("#'ASSET_PREVIEW'!A21","Open preview"))</f>
        <v>Open preview</v>
      </c>
      <c r="N21" s="85" t="str">
        <f>IF($A21="","",IF(UPPER($H21)&lt;&gt;"TRUE","DISABLED",IF($C21="external_url",IF(OR(LEFT(LOWER($D21),7)="http://",LEFT(LOWER($D21),8)="https://"),"READY -&gt; "&amp;$I21,"NEEDS HTTP URL"),IF($C21="import_local",IF($D21="","NEEDS SOURCE FILE",IF($E21="","NEEDS TARGET PATH","READY -&gt; "&amp;$I21)),IF($C21="existing_public",IF(IF($D21&lt;&gt;"",$D21,$E21)&lt;&gt;"","READY -&gt; "&amp;$I21,"NEEDS PUBLIC PATH"),"CHECK MODE")))))</f>
        <v>READY -&gt; /assets/projects/twitch-icon.webp</v>
      </c>
    </row>
    <row r="22" spans="1:14" x14ac:dyDescent="0.25">
      <c r="A22" s="72" t="s">
        <v>155</v>
      </c>
      <c r="B22" s="72" t="s">
        <v>102</v>
      </c>
      <c r="C22" s="72" t="s">
        <v>101</v>
      </c>
      <c r="D22" s="73" t="s">
        <v>508</v>
      </c>
      <c r="E22" s="73" t="s">
        <v>508</v>
      </c>
      <c r="F22" s="72" t="s">
        <v>509</v>
      </c>
      <c r="G22" s="73" t="s">
        <v>510</v>
      </c>
      <c r="H22" s="77" t="s">
        <v>98</v>
      </c>
      <c r="I22" s="83" t="str">
        <f>IF($A22="","",IF(UPPER($H22)&lt;&gt;"TRUE","",IF($C22="import_local",IF($E22&lt;&gt;"",$E22,""),IF($C22="external_url",$D22,IF(IF($D22&lt;&gt;"",$D22,$E22)&lt;&gt;"",IF($D22&lt;&gt;"",$D22,$E22),"")))))</f>
        <v>/assets/projects/usb-extraction.mp4</v>
      </c>
      <c r="J22" s="24" t="str">
        <f>IF($A22="","",IF(UPPER($H22)&lt;&gt;"TRUE","Disabled",HYPERLINK("http://127.0.0.1:5173/__dev/asset-source"&amp;"?assetId="&amp;ENCODEURL($A22)&amp;"&amp;sig="&amp;ENCODEURL($B22&amp;"|"&amp;$C22&amp;"|"&amp;$D22&amp;"|"&amp;$E22&amp;"|"&amp;$H22),"Open source")))</f>
        <v>Open source</v>
      </c>
      <c r="K22" s="24" t="str">
        <f>IF($A22="","",IF(OR(UPPER($H22)&lt;&gt;"TRUE",$I22=""),"Unavailable",HYPERLINK("http://127.0.0.1:5173/__dev/asset-resolved"&amp;"?assetId="&amp;ENCODEURL($A22)&amp;"&amp;sig="&amp;ENCODEURL($B22&amp;"|"&amp;$C22&amp;"|"&amp;$D22&amp;"|"&amp;$E22&amp;"|"&amp;$H22),"Open resolved")))</f>
        <v>Open resolved</v>
      </c>
      <c r="L22" s="84" t="s">
        <v>511</v>
      </c>
      <c r="M22" s="24" t="str">
        <f>IF($A22="","",HYPERLINK("#'ASSET_PREVIEW'!A22","Open preview"))</f>
        <v>Open preview</v>
      </c>
      <c r="N22" s="85" t="str">
        <f>IF($A22="","",IF(UPPER($H22)&lt;&gt;"TRUE","DISABLED",IF($C22="external_url",IF(OR(LEFT(LOWER($D22),7)="http://",LEFT(LOWER($D22),8)="https://"),"READY -&gt; "&amp;$I22,"NEEDS HTTP URL"),IF($C22="import_local",IF($D22="","NEEDS SOURCE FILE",IF($E22="","NEEDS TARGET PATH","READY -&gt; "&amp;$I22)),IF($C22="existing_public",IF(IF($D22&lt;&gt;"",$D22,$E22)&lt;&gt;"","READY -&gt; "&amp;$I22,"NEEDS PUBLIC PATH"),"CHECK MODE")))))</f>
        <v>READY -&gt; /assets/projects/usb-extraction.mp4</v>
      </c>
    </row>
    <row r="23" spans="1:14" x14ac:dyDescent="0.25">
      <c r="A23" s="68" t="s">
        <v>156</v>
      </c>
      <c r="B23" s="68" t="s">
        <v>100</v>
      </c>
      <c r="C23" s="68" t="s">
        <v>101</v>
      </c>
      <c r="D23" s="69" t="s">
        <v>512</v>
      </c>
      <c r="E23" s="69" t="s">
        <v>512</v>
      </c>
      <c r="F23" s="68" t="s">
        <v>513</v>
      </c>
      <c r="G23" s="69" t="s">
        <v>514</v>
      </c>
      <c r="H23" s="76" t="s">
        <v>98</v>
      </c>
      <c r="I23" s="83" t="str">
        <f>IF($A23="","",IF(UPPER($H23)&lt;&gt;"TRUE","",IF($C23="import_local",IF($E23&lt;&gt;"",$E23,""),IF($C23="external_url",$D23,IF(IF($D23&lt;&gt;"",$D23,$E23)&lt;&gt;"",IF($D23&lt;&gt;"",$D23,$E23),"")))))</f>
        <v>/assets/projects/usb-extraction.png</v>
      </c>
      <c r="J23" s="24" t="str">
        <f>IF($A23="","",IF(UPPER($H23)&lt;&gt;"TRUE","Disabled",HYPERLINK("http://127.0.0.1:5173/__dev/asset-source"&amp;"?assetId="&amp;ENCODEURL($A23)&amp;"&amp;sig="&amp;ENCODEURL($B23&amp;"|"&amp;$C23&amp;"|"&amp;$D23&amp;"|"&amp;$E23&amp;"|"&amp;$H23),"Open source")))</f>
        <v>Open source</v>
      </c>
      <c r="K23" s="24" t="str">
        <f>IF($A23="","",IF(OR(UPPER($H23)&lt;&gt;"TRUE",$I23=""),"Unavailable",HYPERLINK("http://127.0.0.1:5173/__dev/asset-resolved"&amp;"?assetId="&amp;ENCODEURL($A23)&amp;"&amp;sig="&amp;ENCODEURL($B23&amp;"|"&amp;$C23&amp;"|"&amp;$D23&amp;"|"&amp;$E23&amp;"|"&amp;$H23),"Open resolved")))</f>
        <v>Open resolved</v>
      </c>
      <c r="L23" s="84" t="s">
        <v>515</v>
      </c>
      <c r="M23" s="24" t="str">
        <f>IF($A23="","",HYPERLINK("#'ASSET_PREVIEW'!A23","Open preview"))</f>
        <v>Open preview</v>
      </c>
      <c r="N23" s="85" t="str">
        <f>IF($A23="","",IF(UPPER($H23)&lt;&gt;"TRUE","DISABLED",IF($C23="external_url",IF(OR(LEFT(LOWER($D23),7)="http://",LEFT(LOWER($D23),8)="https://"),"READY -&gt; "&amp;$I23,"NEEDS HTTP URL"),IF($C23="import_local",IF($D23="","NEEDS SOURCE FILE",IF($E23="","NEEDS TARGET PATH","READY -&gt; "&amp;$I23)),IF($C23="existing_public",IF(IF($D23&lt;&gt;"",$D23,$E23)&lt;&gt;"","READY -&gt; "&amp;$I23,"NEEDS PUBLIC PATH"),"CHECK MODE")))))</f>
        <v>READY -&gt; /assets/projects/usb-extraction.png</v>
      </c>
    </row>
    <row r="24" spans="1:14" x14ac:dyDescent="0.25">
      <c r="A24" s="72" t="s">
        <v>157</v>
      </c>
      <c r="B24" s="72" t="s">
        <v>125</v>
      </c>
      <c r="C24" s="72" t="s">
        <v>101</v>
      </c>
      <c r="D24" s="73" t="s">
        <v>516</v>
      </c>
      <c r="E24" s="73" t="s">
        <v>516</v>
      </c>
      <c r="F24" s="72" t="s">
        <v>517</v>
      </c>
      <c r="G24" s="73" t="s">
        <v>518</v>
      </c>
      <c r="H24" s="77" t="s">
        <v>98</v>
      </c>
      <c r="I24" s="83" t="str">
        <f>IF($A24="","",IF(UPPER($H24)&lt;&gt;"TRUE","",IF($C24="import_local",IF($E24&lt;&gt;"",$E24,""),IF($C24="external_url",$D24,IF(IF($D24&lt;&gt;"",$D24,$E24)&lt;&gt;"",IF($D24&lt;&gt;"",$D24,$E24),"")))))</f>
        <v>/assets/projects/terminal.ico</v>
      </c>
      <c r="J24" s="24" t="str">
        <f>IF($A24="","",IF(UPPER($H24)&lt;&gt;"TRUE","Disabled",HYPERLINK("http://127.0.0.1:5173/__dev/asset-source"&amp;"?assetId="&amp;ENCODEURL($A24)&amp;"&amp;sig="&amp;ENCODEURL($B24&amp;"|"&amp;$C24&amp;"|"&amp;$D24&amp;"|"&amp;$E24&amp;"|"&amp;$H24),"Open source")))</f>
        <v>Open source</v>
      </c>
      <c r="K24" s="24" t="str">
        <f>IF($A24="","",IF(OR(UPPER($H24)&lt;&gt;"TRUE",$I24=""),"Unavailable",HYPERLINK("http://127.0.0.1:5173/__dev/asset-resolved"&amp;"?assetId="&amp;ENCODEURL($A24)&amp;"&amp;sig="&amp;ENCODEURL($B24&amp;"|"&amp;$C24&amp;"|"&amp;$D24&amp;"|"&amp;$E24&amp;"|"&amp;$H24),"Open resolved")))</f>
        <v>Open resolved</v>
      </c>
      <c r="L24" s="84" t="s">
        <v>519</v>
      </c>
      <c r="M24" s="24" t="str">
        <f>IF($A24="","",HYPERLINK("#'ASSET_PREVIEW'!A24","Open preview"))</f>
        <v>Open preview</v>
      </c>
      <c r="N24" s="85" t="str">
        <f>IF($A24="","",IF(UPPER($H24)&lt;&gt;"TRUE","DISABLED",IF($C24="external_url",IF(OR(LEFT(LOWER($D24),7)="http://",LEFT(LOWER($D24),8)="https://"),"READY -&gt; "&amp;$I24,"NEEDS HTTP URL"),IF($C24="import_local",IF($D24="","NEEDS SOURCE FILE",IF($E24="","NEEDS TARGET PATH","READY -&gt; "&amp;$I24)),IF($C24="existing_public",IF(IF($D24&lt;&gt;"",$D24,$E24)&lt;&gt;"","READY -&gt; "&amp;$I24,"NEEDS PUBLIC PATH"),"CHECK MODE")))))</f>
        <v>READY -&gt; /assets/projects/terminal.ico</v>
      </c>
    </row>
    <row r="25" spans="1:14" x14ac:dyDescent="0.25">
      <c r="A25" s="68" t="s">
        <v>158</v>
      </c>
      <c r="B25" s="68" t="s">
        <v>100</v>
      </c>
      <c r="C25" s="68" t="s">
        <v>101</v>
      </c>
      <c r="D25" s="69" t="s">
        <v>520</v>
      </c>
      <c r="E25" s="69" t="s">
        <v>520</v>
      </c>
      <c r="F25" s="68" t="s">
        <v>521</v>
      </c>
      <c r="G25" s="69" t="s">
        <v>522</v>
      </c>
      <c r="H25" s="76" t="s">
        <v>98</v>
      </c>
      <c r="I25" s="83" t="str">
        <f>IF($A25="","",IF(UPPER($H25)&lt;&gt;"TRUE","",IF($C25="import_local",IF($E25&lt;&gt;"",$E25,""),IF($C25="external_url",$D25,IF(IF($D25&lt;&gt;"",$D25,$E25)&lt;&gt;"",IF($D25&lt;&gt;"",$D25,$E25),"")))))</f>
        <v>/assets/testimonials/client3.png</v>
      </c>
      <c r="J25" s="24" t="str">
        <f>IF($A25="","",IF(UPPER($H25)&lt;&gt;"TRUE","Disabled",HYPERLINK("http://127.0.0.1:5173/__dev/asset-source"&amp;"?assetId="&amp;ENCODEURL($A25)&amp;"&amp;sig="&amp;ENCODEURL($B25&amp;"|"&amp;$C25&amp;"|"&amp;$D25&amp;"|"&amp;$E25&amp;"|"&amp;$H25),"Open source")))</f>
        <v>Open source</v>
      </c>
      <c r="K25" s="24" t="str">
        <f>IF($A25="","",IF(OR(UPPER($H25)&lt;&gt;"TRUE",$I25=""),"Unavailable",HYPERLINK("http://127.0.0.1:5173/__dev/asset-resolved"&amp;"?assetId="&amp;ENCODEURL($A25)&amp;"&amp;sig="&amp;ENCODEURL($B25&amp;"|"&amp;$C25&amp;"|"&amp;$D25&amp;"|"&amp;$E25&amp;"|"&amp;$H25),"Open resolved")))</f>
        <v>Open resolved</v>
      </c>
      <c r="L25" s="84" t="s">
        <v>523</v>
      </c>
      <c r="M25" s="24" t="str">
        <f>IF($A25="","",HYPERLINK("#'ASSET_PREVIEW'!A25","Open preview"))</f>
        <v>Open preview</v>
      </c>
      <c r="N25" s="85" t="str">
        <f>IF($A25="","",IF(UPPER($H25)&lt;&gt;"TRUE","DISABLED",IF($C25="external_url",IF(OR(LEFT(LOWER($D25),7)="http://",LEFT(LOWER($D25),8)="https://"),"READY -&gt; "&amp;$I25,"NEEDS HTTP URL"),IF($C25="import_local",IF($D25="","NEEDS SOURCE FILE",IF($E25="","NEEDS TARGET PATH","READY -&gt; "&amp;$I25)),IF($C25="existing_public",IF(IF($D25&lt;&gt;"",$D25,$E25)&lt;&gt;"","READY -&gt; "&amp;$I25,"NEEDS PUBLIC PATH"),"CHECK MODE")))))</f>
        <v>READY -&gt; /assets/testimonials/client3.png</v>
      </c>
    </row>
    <row r="26" spans="1:14" x14ac:dyDescent="0.25">
      <c r="A26" s="72" t="s">
        <v>159</v>
      </c>
      <c r="B26" s="72" t="s">
        <v>100</v>
      </c>
      <c r="C26" s="72" t="s">
        <v>101</v>
      </c>
      <c r="D26" s="73" t="s">
        <v>524</v>
      </c>
      <c r="E26" s="73" t="s">
        <v>524</v>
      </c>
      <c r="F26" s="72" t="s">
        <v>521</v>
      </c>
      <c r="G26" s="73" t="s">
        <v>522</v>
      </c>
      <c r="H26" s="77" t="s">
        <v>98</v>
      </c>
      <c r="I26" s="83" t="str">
        <f>IF($A26="","",IF(UPPER($H26)&lt;&gt;"TRUE","",IF($C26="import_local",IF($E26&lt;&gt;"",$E26,""),IF($C26="external_url",$D26,IF(IF($D26&lt;&gt;"",$D26,$E26)&lt;&gt;"",IF($D26&lt;&gt;"",$D26,$E26),"")))))</f>
        <v>/assets/testimonials/client2.png</v>
      </c>
      <c r="J26" s="24" t="str">
        <f>IF($A26="","",IF(UPPER($H26)&lt;&gt;"TRUE","Disabled",HYPERLINK("http://127.0.0.1:5173/__dev/asset-source"&amp;"?assetId="&amp;ENCODEURL($A26)&amp;"&amp;sig="&amp;ENCODEURL($B26&amp;"|"&amp;$C26&amp;"|"&amp;$D26&amp;"|"&amp;$E26&amp;"|"&amp;$H26),"Open source")))</f>
        <v>Open source</v>
      </c>
      <c r="K26" s="24" t="str">
        <f>IF($A26="","",IF(OR(UPPER($H26)&lt;&gt;"TRUE",$I26=""),"Unavailable",HYPERLINK("http://127.0.0.1:5173/__dev/asset-resolved"&amp;"?assetId="&amp;ENCODEURL($A26)&amp;"&amp;sig="&amp;ENCODEURL($B26&amp;"|"&amp;$C26&amp;"|"&amp;$D26&amp;"|"&amp;$E26&amp;"|"&amp;$H26),"Open resolved")))</f>
        <v>Open resolved</v>
      </c>
      <c r="L26" s="84" t="s">
        <v>525</v>
      </c>
      <c r="M26" s="24" t="str">
        <f>IF($A26="","",HYPERLINK("#'ASSET_PREVIEW'!A26","Open preview"))</f>
        <v>Open preview</v>
      </c>
      <c r="N26" s="85" t="str">
        <f>IF($A26="","",IF(UPPER($H26)&lt;&gt;"TRUE","DISABLED",IF($C26="external_url",IF(OR(LEFT(LOWER($D26),7)="http://",LEFT(LOWER($D26),8)="https://"),"READY -&gt; "&amp;$I26,"NEEDS HTTP URL"),IF($C26="import_local",IF($D26="","NEEDS SOURCE FILE",IF($E26="","NEEDS TARGET PATH","READY -&gt; "&amp;$I26)),IF($C26="existing_public",IF(IF($D26&lt;&gt;"",$D26,$E26)&lt;&gt;"","READY -&gt; "&amp;$I26,"NEEDS PUBLIC PATH"),"CHECK MODE")))))</f>
        <v>READY -&gt; /assets/testimonials/client2.png</v>
      </c>
    </row>
    <row r="27" spans="1:14" x14ac:dyDescent="0.25">
      <c r="A27" s="68" t="s">
        <v>160</v>
      </c>
      <c r="B27" s="68" t="s">
        <v>100</v>
      </c>
      <c r="C27" s="68" t="s">
        <v>101</v>
      </c>
      <c r="D27" s="69" t="s">
        <v>526</v>
      </c>
      <c r="E27" s="69" t="s">
        <v>526</v>
      </c>
      <c r="F27" s="68" t="s">
        <v>521</v>
      </c>
      <c r="G27" s="69" t="s">
        <v>522</v>
      </c>
      <c r="H27" s="76" t="s">
        <v>98</v>
      </c>
      <c r="I27" s="83" t="str">
        <f>IF($A27="","",IF(UPPER($H27)&lt;&gt;"TRUE","",IF($C27="import_local",IF($E27&lt;&gt;"",$E27,""),IF($C27="external_url",$D27,IF(IF($D27&lt;&gt;"",$D27,$E27)&lt;&gt;"",IF($D27&lt;&gt;"",$D27,$E27),"")))))</f>
        <v>/assets/testimonials/client1.png</v>
      </c>
      <c r="J27" s="24" t="str">
        <f>IF($A27="","",IF(UPPER($H27)&lt;&gt;"TRUE","Disabled",HYPERLINK("http://127.0.0.1:5173/__dev/asset-source"&amp;"?assetId="&amp;ENCODEURL($A27)&amp;"&amp;sig="&amp;ENCODEURL($B27&amp;"|"&amp;$C27&amp;"|"&amp;$D27&amp;"|"&amp;$E27&amp;"|"&amp;$H27),"Open source")))</f>
        <v>Open source</v>
      </c>
      <c r="K27" s="24" t="str">
        <f>IF($A27="","",IF(OR(UPPER($H27)&lt;&gt;"TRUE",$I27=""),"Unavailable",HYPERLINK("http://127.0.0.1:5173/__dev/asset-resolved"&amp;"?assetId="&amp;ENCODEURL($A27)&amp;"&amp;sig="&amp;ENCODEURL($B27&amp;"|"&amp;$C27&amp;"|"&amp;$D27&amp;"|"&amp;$E27&amp;"|"&amp;$H27),"Open resolved")))</f>
        <v>Open resolved</v>
      </c>
      <c r="L27" s="84" t="s">
        <v>527</v>
      </c>
      <c r="M27" s="24" t="str">
        <f>IF($A27="","",HYPERLINK("#'ASSET_PREVIEW'!A27","Open preview"))</f>
        <v>Open preview</v>
      </c>
      <c r="N27" s="85" t="str">
        <f>IF($A27="","",IF(UPPER($H27)&lt;&gt;"TRUE","DISABLED",IF($C27="external_url",IF(OR(LEFT(LOWER($D27),7)="http://",LEFT(LOWER($D27),8)="https://"),"READY -&gt; "&amp;$I27,"NEEDS HTTP URL"),IF($C27="import_local",IF($D27="","NEEDS SOURCE FILE",IF($E27="","NEEDS TARGET PATH","READY -&gt; "&amp;$I27)),IF($C27="existing_public",IF(IF($D27&lt;&gt;"",$D27,$E27)&lt;&gt;"","READY -&gt; "&amp;$I27,"NEEDS PUBLIC PATH"),"CHECK MODE")))))</f>
        <v>READY -&gt; /assets/testimonials/client1.png</v>
      </c>
    </row>
    <row r="28" spans="1:14" x14ac:dyDescent="0.25">
      <c r="A28" s="72" t="s">
        <v>161</v>
      </c>
      <c r="B28" s="72" t="s">
        <v>100</v>
      </c>
      <c r="C28" s="72" t="s">
        <v>101</v>
      </c>
      <c r="D28" s="73" t="s">
        <v>528</v>
      </c>
      <c r="E28" s="73" t="s">
        <v>528</v>
      </c>
      <c r="F28" s="72" t="s">
        <v>521</v>
      </c>
      <c r="G28" s="73" t="s">
        <v>522</v>
      </c>
      <c r="H28" s="77" t="s">
        <v>98</v>
      </c>
      <c r="I28" s="83" t="str">
        <f>IF($A28="","",IF(UPPER($H28)&lt;&gt;"TRUE","",IF($C28="import_local",IF($E28&lt;&gt;"",$E28,""),IF($C28="external_url",$D28,IF(IF($D28&lt;&gt;"",$D28,$E28)&lt;&gt;"",IF($D28&lt;&gt;"",$D28,$E28),"")))))</f>
        <v>/assets/testimonials/client4.png</v>
      </c>
      <c r="J28" s="24" t="str">
        <f>IF($A28="","",IF(UPPER($H28)&lt;&gt;"TRUE","Disabled",HYPERLINK("http://127.0.0.1:5173/__dev/asset-source"&amp;"?assetId="&amp;ENCODEURL($A28)&amp;"&amp;sig="&amp;ENCODEURL($B28&amp;"|"&amp;$C28&amp;"|"&amp;$D28&amp;"|"&amp;$E28&amp;"|"&amp;$H28),"Open source")))</f>
        <v>Open source</v>
      </c>
      <c r="K28" s="24" t="str">
        <f>IF($A28="","",IF(OR(UPPER($H28)&lt;&gt;"TRUE",$I28=""),"Unavailable",HYPERLINK("http://127.0.0.1:5173/__dev/asset-resolved"&amp;"?assetId="&amp;ENCODEURL($A28)&amp;"&amp;sig="&amp;ENCODEURL($B28&amp;"|"&amp;$C28&amp;"|"&amp;$D28&amp;"|"&amp;$E28&amp;"|"&amp;$H28),"Open resolved")))</f>
        <v>Open resolved</v>
      </c>
      <c r="L28" s="84" t="s">
        <v>529</v>
      </c>
      <c r="M28" s="24" t="str">
        <f>IF($A28="","",HYPERLINK("#'ASSET_PREVIEW'!A28","Open preview"))</f>
        <v>Open preview</v>
      </c>
      <c r="N28" s="85" t="str">
        <f>IF($A28="","",IF(UPPER($H28)&lt;&gt;"TRUE","DISABLED",IF($C28="external_url",IF(OR(LEFT(LOWER($D28),7)="http://",LEFT(LOWER($D28),8)="https://"),"READY -&gt; "&amp;$I28,"NEEDS HTTP URL"),IF($C28="import_local",IF($D28="","NEEDS SOURCE FILE",IF($E28="","NEEDS TARGET PATH","READY -&gt; "&amp;$I28)),IF($C28="existing_public",IF(IF($D28&lt;&gt;"",$D28,$E28)&lt;&gt;"","READY -&gt; "&amp;$I28,"NEEDS PUBLIC PATH"),"CHECK MODE")))))</f>
        <v>READY -&gt; /assets/testimonials/client4.png</v>
      </c>
    </row>
    <row r="29" spans="1:14" x14ac:dyDescent="0.25">
      <c r="A29" s="68" t="s">
        <v>162</v>
      </c>
      <c r="B29" s="68" t="s">
        <v>100</v>
      </c>
      <c r="C29" s="68" t="s">
        <v>101</v>
      </c>
      <c r="D29" s="69" t="s">
        <v>530</v>
      </c>
      <c r="E29" s="69" t="s">
        <v>530</v>
      </c>
      <c r="F29" s="68" t="s">
        <v>521</v>
      </c>
      <c r="G29" s="69" t="s">
        <v>531</v>
      </c>
      <c r="H29" s="76" t="s">
        <v>98</v>
      </c>
      <c r="I29" s="83" t="str">
        <f>IF($A29="","",IF(UPPER($H29)&lt;&gt;"TRUE","",IF($C29="import_local",IF($E29&lt;&gt;"",$E29,""),IF($C29="external_url",$D29,IF(IF($D29&lt;&gt;"",$D29,$E29)&lt;&gt;"",IF($D29&lt;&gt;"",$D29,$E29),"")))))</f>
        <v>/assets/testimonials/client5.jpg</v>
      </c>
      <c r="J29" s="24" t="str">
        <f>IF($A29="","",IF(UPPER($H29)&lt;&gt;"TRUE","Disabled",HYPERLINK("http://127.0.0.1:5173/__dev/asset-source"&amp;"?assetId="&amp;ENCODEURL($A29)&amp;"&amp;sig="&amp;ENCODEURL($B29&amp;"|"&amp;$C29&amp;"|"&amp;$D29&amp;"|"&amp;$E29&amp;"|"&amp;$H29),"Open source")))</f>
        <v>Open source</v>
      </c>
      <c r="K29" s="24" t="str">
        <f>IF($A29="","",IF(OR(UPPER($H29)&lt;&gt;"TRUE",$I29=""),"Unavailable",HYPERLINK("http://127.0.0.1:5173/__dev/asset-resolved"&amp;"?assetId="&amp;ENCODEURL($A29)&amp;"&amp;sig="&amp;ENCODEURL($B29&amp;"|"&amp;$C29&amp;"|"&amp;$D29&amp;"|"&amp;$E29&amp;"|"&amp;$H29),"Open resolved")))</f>
        <v>Open resolved</v>
      </c>
      <c r="L29" s="84" t="s">
        <v>532</v>
      </c>
      <c r="M29" s="24" t="str">
        <f>IF($A29="","",HYPERLINK("#'ASSET_PREVIEW'!A29","Open preview"))</f>
        <v>Open preview</v>
      </c>
      <c r="N29" s="85" t="str">
        <f>IF($A29="","",IF(UPPER($H29)&lt;&gt;"TRUE","DISABLED",IF($C29="external_url",IF(OR(LEFT(LOWER($D29),7)="http://",LEFT(LOWER($D29),8)="https://"),"READY -&gt; "&amp;$I29,"NEEDS HTTP URL"),IF($C29="import_local",IF($D29="","NEEDS SOURCE FILE",IF($E29="","NEEDS TARGET PATH","READY -&gt; "&amp;$I29)),IF($C29="existing_public",IF(IF($D29&lt;&gt;"",$D29,$E29)&lt;&gt;"","READY -&gt; "&amp;$I29,"NEEDS PUBLIC PATH"),"CHECK MODE")))))</f>
        <v>READY -&gt; /assets/testimonials/client5.jpg</v>
      </c>
    </row>
    <row r="30" spans="1:14" x14ac:dyDescent="0.25">
      <c r="A30" s="72" t="s">
        <v>163</v>
      </c>
      <c r="B30" s="72" t="s">
        <v>100</v>
      </c>
      <c r="C30" s="72" t="s">
        <v>101</v>
      </c>
      <c r="D30" s="73" t="s">
        <v>533</v>
      </c>
      <c r="E30" s="73" t="s">
        <v>533</v>
      </c>
      <c r="F30" s="72" t="s">
        <v>521</v>
      </c>
      <c r="G30" s="73" t="s">
        <v>531</v>
      </c>
      <c r="H30" s="77" t="s">
        <v>98</v>
      </c>
      <c r="I30" s="83" t="str">
        <f>IF($A30="","",IF(UPPER($H30)&lt;&gt;"TRUE","",IF($C30="import_local",IF($E30&lt;&gt;"",$E30,""),IF($C30="external_url",$D30,IF(IF($D30&lt;&gt;"",$D30,$E30)&lt;&gt;"",IF($D30&lt;&gt;"",$D30,$E30),"")))))</f>
        <v>/assets/testimonials/client6.jpg</v>
      </c>
      <c r="J30" s="24" t="str">
        <f>IF($A30="","",IF(UPPER($H30)&lt;&gt;"TRUE","Disabled",HYPERLINK("http://127.0.0.1:5173/__dev/asset-source"&amp;"?assetId="&amp;ENCODEURL($A30)&amp;"&amp;sig="&amp;ENCODEURL($B30&amp;"|"&amp;$C30&amp;"|"&amp;$D30&amp;"|"&amp;$E30&amp;"|"&amp;$H30),"Open source")))</f>
        <v>Open source</v>
      </c>
      <c r="K30" s="24" t="str">
        <f>IF($A30="","",IF(OR(UPPER($H30)&lt;&gt;"TRUE",$I30=""),"Unavailable",HYPERLINK("http://127.0.0.1:5173/__dev/asset-resolved"&amp;"?assetId="&amp;ENCODEURL($A30)&amp;"&amp;sig="&amp;ENCODEURL($B30&amp;"|"&amp;$C30&amp;"|"&amp;$D30&amp;"|"&amp;$E30&amp;"|"&amp;$H30),"Open resolved")))</f>
        <v>Open resolved</v>
      </c>
      <c r="L30" s="84" t="s">
        <v>534</v>
      </c>
      <c r="M30" s="24" t="str">
        <f>IF($A30="","",HYPERLINK("#'ASSET_PREVIEW'!A30","Open preview"))</f>
        <v>Open preview</v>
      </c>
      <c r="N30" s="85" t="str">
        <f>IF($A30="","",IF(UPPER($H30)&lt;&gt;"TRUE","DISABLED",IF($C30="external_url",IF(OR(LEFT(LOWER($D30),7)="http://",LEFT(LOWER($D30),8)="https://"),"READY -&gt; "&amp;$I30,"NEEDS HTTP URL"),IF($C30="import_local",IF($D30="","NEEDS SOURCE FILE",IF($E30="","NEEDS TARGET PATH","READY -&gt; "&amp;$I30)),IF($C30="existing_public",IF(IF($D30&lt;&gt;"",$D30,$E30)&lt;&gt;"","READY -&gt; "&amp;$I30,"NEEDS PUBLIC PATH"),"CHECK MODE")))))</f>
        <v>READY -&gt; /assets/testimonials/client6.jpg</v>
      </c>
    </row>
    <row r="31" spans="1:14" x14ac:dyDescent="0.25">
      <c r="A31" s="68" t="s">
        <v>164</v>
      </c>
      <c r="B31" s="68" t="s">
        <v>100</v>
      </c>
      <c r="C31" s="68" t="s">
        <v>101</v>
      </c>
      <c r="D31" s="69" t="s">
        <v>535</v>
      </c>
      <c r="E31" s="69" t="s">
        <v>535</v>
      </c>
      <c r="F31" s="68" t="s">
        <v>521</v>
      </c>
      <c r="G31" s="69" t="s">
        <v>531</v>
      </c>
      <c r="H31" s="76" t="s">
        <v>98</v>
      </c>
      <c r="I31" s="83" t="str">
        <f>IF($A31="","",IF(UPPER($H31)&lt;&gt;"TRUE","",IF($C31="import_local",IF($E31&lt;&gt;"",$E31,""),IF($C31="external_url",$D31,IF(IF($D31&lt;&gt;"",$D31,$E31)&lt;&gt;"",IF($D31&lt;&gt;"",$D31,$E31),"")))))</f>
        <v>/assets/testimonials/client7.jpg</v>
      </c>
      <c r="J31" s="24" t="str">
        <f>IF($A31="","",IF(UPPER($H31)&lt;&gt;"TRUE","Disabled",HYPERLINK("http://127.0.0.1:5173/__dev/asset-source"&amp;"?assetId="&amp;ENCODEURL($A31)&amp;"&amp;sig="&amp;ENCODEURL($B31&amp;"|"&amp;$C31&amp;"|"&amp;$D31&amp;"|"&amp;$E31&amp;"|"&amp;$H31),"Open source")))</f>
        <v>Open source</v>
      </c>
      <c r="K31" s="24" t="str">
        <f>IF($A31="","",IF(OR(UPPER($H31)&lt;&gt;"TRUE",$I31=""),"Unavailable",HYPERLINK("http://127.0.0.1:5173/__dev/asset-resolved"&amp;"?assetId="&amp;ENCODEURL($A31)&amp;"&amp;sig="&amp;ENCODEURL($B31&amp;"|"&amp;$C31&amp;"|"&amp;$D31&amp;"|"&amp;$E31&amp;"|"&amp;$H31),"Open resolved")))</f>
        <v>Open resolved</v>
      </c>
      <c r="L31" s="84" t="s">
        <v>536</v>
      </c>
      <c r="M31" s="24" t="str">
        <f>IF($A31="","",HYPERLINK("#'ASSET_PREVIEW'!A31","Open preview"))</f>
        <v>Open preview</v>
      </c>
      <c r="N31" s="85" t="str">
        <f>IF($A31="","",IF(UPPER($H31)&lt;&gt;"TRUE","DISABLED",IF($C31="external_url",IF(OR(LEFT(LOWER($D31),7)="http://",LEFT(LOWER($D31),8)="https://"),"READY -&gt; "&amp;$I31,"NEEDS HTTP URL"),IF($C31="import_local",IF($D31="","NEEDS SOURCE FILE",IF($E31="","NEEDS TARGET PATH","READY -&gt; "&amp;$I31)),IF($C31="existing_public",IF(IF($D31&lt;&gt;"",$D31,$E31)&lt;&gt;"","READY -&gt; "&amp;$I31,"NEEDS PUBLIC PATH"),"CHECK MODE")))))</f>
        <v>READY -&gt; /assets/testimonials/client7.jpg</v>
      </c>
    </row>
    <row r="32" spans="1:14" x14ac:dyDescent="0.25">
      <c r="A32" s="72" t="s">
        <v>165</v>
      </c>
      <c r="B32" s="72" t="s">
        <v>100</v>
      </c>
      <c r="C32" s="72" t="s">
        <v>101</v>
      </c>
      <c r="D32" s="73" t="s">
        <v>537</v>
      </c>
      <c r="E32" s="73" t="s">
        <v>537</v>
      </c>
      <c r="F32" s="72" t="s">
        <v>521</v>
      </c>
      <c r="G32" s="73" t="s">
        <v>531</v>
      </c>
      <c r="H32" s="77" t="s">
        <v>98</v>
      </c>
      <c r="I32" s="83" t="str">
        <f>IF($A32="","",IF(UPPER($H32)&lt;&gt;"TRUE","",IF($C32="import_local",IF($E32&lt;&gt;"",$E32,""),IF($C32="external_url",$D32,IF(IF($D32&lt;&gt;"",$D32,$E32)&lt;&gt;"",IF($D32&lt;&gt;"",$D32,$E32),"")))))</f>
        <v>/assets/testimonials/client8.jpg</v>
      </c>
      <c r="J32" s="24" t="str">
        <f>IF($A32="","",IF(UPPER($H32)&lt;&gt;"TRUE","Disabled",HYPERLINK("http://127.0.0.1:5173/__dev/asset-source"&amp;"?assetId="&amp;ENCODEURL($A32)&amp;"&amp;sig="&amp;ENCODEURL($B32&amp;"|"&amp;$C32&amp;"|"&amp;$D32&amp;"|"&amp;$E32&amp;"|"&amp;$H32),"Open source")))</f>
        <v>Open source</v>
      </c>
      <c r="K32" s="24" t="str">
        <f>IF($A32="","",IF(OR(UPPER($H32)&lt;&gt;"TRUE",$I32=""),"Unavailable",HYPERLINK("http://127.0.0.1:5173/__dev/asset-resolved"&amp;"?assetId="&amp;ENCODEURL($A32)&amp;"&amp;sig="&amp;ENCODEURL($B32&amp;"|"&amp;$C32&amp;"|"&amp;$D32&amp;"|"&amp;$E32&amp;"|"&amp;$H32),"Open resolved")))</f>
        <v>Open resolved</v>
      </c>
      <c r="L32" s="84" t="s">
        <v>538</v>
      </c>
      <c r="M32" s="24" t="str">
        <f>IF($A32="","",HYPERLINK("#'ASSET_PREVIEW'!A32","Open preview"))</f>
        <v>Open preview</v>
      </c>
      <c r="N32" s="85" t="str">
        <f>IF($A32="","",IF(UPPER($H32)&lt;&gt;"TRUE","DISABLED",IF($C32="external_url",IF(OR(LEFT(LOWER($D32),7)="http://",LEFT(LOWER($D32),8)="https://"),"READY -&gt; "&amp;$I32,"NEEDS HTTP URL"),IF($C32="import_local",IF($D32="","NEEDS SOURCE FILE",IF($E32="","NEEDS TARGET PATH","READY -&gt; "&amp;$I32)),IF($C32="existing_public",IF(IF($D32&lt;&gt;"",$D32,$E32)&lt;&gt;"","READY -&gt; "&amp;$I32,"NEEDS PUBLIC PATH"),"CHECK MODE")))))</f>
        <v>READY -&gt; /assets/testimonials/client8.jpg</v>
      </c>
    </row>
    <row r="33" spans="1:14" x14ac:dyDescent="0.25">
      <c r="A33" s="68" t="s">
        <v>166</v>
      </c>
      <c r="B33" s="68" t="s">
        <v>100</v>
      </c>
      <c r="C33" s="68" t="s">
        <v>101</v>
      </c>
      <c r="D33" s="69" t="s">
        <v>539</v>
      </c>
      <c r="E33" s="69" t="s">
        <v>539</v>
      </c>
      <c r="F33" s="68" t="s">
        <v>521</v>
      </c>
      <c r="G33" s="69" t="s">
        <v>531</v>
      </c>
      <c r="H33" s="76" t="s">
        <v>98</v>
      </c>
      <c r="I33" s="83" t="str">
        <f>IF($A33="","",IF(UPPER($H33)&lt;&gt;"TRUE","",IF($C33="import_local",IF($E33&lt;&gt;"",$E33,""),IF($C33="external_url",$D33,IF(IF($D33&lt;&gt;"",$D33,$E33)&lt;&gt;"",IF($D33&lt;&gt;"",$D33,$E33),"")))))</f>
        <v>/assets/testimonials/client9.jpg</v>
      </c>
      <c r="J33" s="24" t="str">
        <f>IF($A33="","",IF(UPPER($H33)&lt;&gt;"TRUE","Disabled",HYPERLINK("http://127.0.0.1:5173/__dev/asset-source"&amp;"?assetId="&amp;ENCODEURL($A33)&amp;"&amp;sig="&amp;ENCODEURL($B33&amp;"|"&amp;$C33&amp;"|"&amp;$D33&amp;"|"&amp;$E33&amp;"|"&amp;$H33),"Open source")))</f>
        <v>Open source</v>
      </c>
      <c r="K33" s="24" t="str">
        <f>IF($A33="","",IF(OR(UPPER($H33)&lt;&gt;"TRUE",$I33=""),"Unavailable",HYPERLINK("http://127.0.0.1:5173/__dev/asset-resolved"&amp;"?assetId="&amp;ENCODEURL($A33)&amp;"&amp;sig="&amp;ENCODEURL($B33&amp;"|"&amp;$C33&amp;"|"&amp;$D33&amp;"|"&amp;$E33&amp;"|"&amp;$H33),"Open resolved")))</f>
        <v>Open resolved</v>
      </c>
      <c r="L33" s="86" t="s">
        <v>540</v>
      </c>
      <c r="M33" s="24" t="str">
        <f>IF($A33="","",HYPERLINK("#'ASSET_PREVIEW'!A33","Open preview"))</f>
        <v>Open preview</v>
      </c>
      <c r="N33" s="85" t="str">
        <f>IF($A33="","",IF(UPPER($H33)&lt;&gt;"TRUE","DISABLED",IF($C33="external_url",IF(OR(LEFT(LOWER($D33),7)="http://",LEFT(LOWER($D33),8)="https://"),"READY -&gt; "&amp;$I33,"NEEDS HTTP URL"),IF($C33="import_local",IF($D33="","NEEDS SOURCE FILE",IF($E33="","NEEDS TARGET PATH","READY -&gt; "&amp;$I33)),IF($C33="existing_public",IF(IF($D33&lt;&gt;"",$D33,$E33)&lt;&gt;"","READY -&gt; "&amp;$I33,"NEEDS PUBLIC PATH"),"CHECK MODE")))))</f>
        <v>READY -&gt; /assets/testimonials/client9.jpg</v>
      </c>
    </row>
    <row r="34" spans="1:14" x14ac:dyDescent="0.25">
      <c r="A34" s="72" t="s">
        <v>167</v>
      </c>
      <c r="B34" s="72" t="s">
        <v>100</v>
      </c>
      <c r="C34" s="72" t="s">
        <v>101</v>
      </c>
      <c r="D34" s="73" t="s">
        <v>541</v>
      </c>
      <c r="E34" s="73" t="s">
        <v>541</v>
      </c>
      <c r="F34" s="72" t="s">
        <v>521</v>
      </c>
      <c r="G34" s="73" t="s">
        <v>531</v>
      </c>
      <c r="H34" s="77" t="s">
        <v>98</v>
      </c>
      <c r="I34" s="83" t="str">
        <f>IF($A34="","",IF(UPPER($H34)&lt;&gt;"TRUE","",IF($C34="import_local",IF($E34&lt;&gt;"",$E34,""),IF($C34="external_url",$D34,IF(IF($D34&lt;&gt;"",$D34,$E34)&lt;&gt;"",IF($D34&lt;&gt;"",$D34,$E34),"")))))</f>
        <v>/assets/testimonials/client10.jpg</v>
      </c>
      <c r="J34" s="24" t="str">
        <f>IF($A34="","",IF(UPPER($H34)&lt;&gt;"TRUE","Disabled",HYPERLINK("http://127.0.0.1:5173/__dev/asset-source"&amp;"?assetId="&amp;ENCODEURL($A34)&amp;"&amp;sig="&amp;ENCODEURL($B34&amp;"|"&amp;$C34&amp;"|"&amp;$D34&amp;"|"&amp;$E34&amp;"|"&amp;$H34),"Open source")))</f>
        <v>Open source</v>
      </c>
      <c r="K34" s="24" t="str">
        <f>IF($A34="","",IF(OR(UPPER($H34)&lt;&gt;"TRUE",$I34=""),"Unavailable",HYPERLINK("http://127.0.0.1:5173/__dev/asset-resolved"&amp;"?assetId="&amp;ENCODEURL($A34)&amp;"&amp;sig="&amp;ENCODEURL($B34&amp;"|"&amp;$C34&amp;"|"&amp;$D34&amp;"|"&amp;$E34&amp;"|"&amp;$H34),"Open resolved")))</f>
        <v>Open resolved</v>
      </c>
      <c r="L34" s="86" t="s">
        <v>540</v>
      </c>
      <c r="M34" s="24" t="str">
        <f>IF($A34="","",HYPERLINK("#'ASSET_PREVIEW'!A34","Open preview"))</f>
        <v>Open preview</v>
      </c>
      <c r="N34" s="85" t="str">
        <f>IF($A34="","",IF(UPPER($H34)&lt;&gt;"TRUE","DISABLED",IF($C34="external_url",IF(OR(LEFT(LOWER($D34),7)="http://",LEFT(LOWER($D34),8)="https://"),"READY -&gt; "&amp;$I34,"NEEDS HTTP URL"),IF($C34="import_local",IF($D34="","NEEDS SOURCE FILE",IF($E34="","NEEDS TARGET PATH","READY -&gt; "&amp;$I34)),IF($C34="existing_public",IF(IF($D34&lt;&gt;"",$D34,$E34)&lt;&gt;"","READY -&gt; "&amp;$I34,"NEEDS PUBLIC PATH"),"CHECK MODE")))))</f>
        <v>READY -&gt; /assets/testimonials/client10.jpg</v>
      </c>
    </row>
    <row r="35" spans="1:14" x14ac:dyDescent="0.25">
      <c r="A35" s="68" t="s">
        <v>168</v>
      </c>
      <c r="B35" s="68" t="s">
        <v>100</v>
      </c>
      <c r="C35" s="68" t="s">
        <v>101</v>
      </c>
      <c r="D35" s="69" t="s">
        <v>542</v>
      </c>
      <c r="E35" s="69" t="s">
        <v>542</v>
      </c>
      <c r="F35" s="68" t="s">
        <v>521</v>
      </c>
      <c r="G35" s="69" t="s">
        <v>531</v>
      </c>
      <c r="H35" s="76" t="s">
        <v>98</v>
      </c>
      <c r="I35" s="83" t="str">
        <f>IF($A35="","",IF(UPPER($H35)&lt;&gt;"TRUE","",IF($C35="import_local",IF($E35&lt;&gt;"",$E35,""),IF($C35="external_url",$D35,IF(IF($D35&lt;&gt;"",$D35,$E35)&lt;&gt;"",IF($D35&lt;&gt;"",$D35,$E35),"")))))</f>
        <v>/assets/testimonials/client11.jpg</v>
      </c>
      <c r="J35" s="24" t="str">
        <f>IF($A35="","",IF(UPPER($H35)&lt;&gt;"TRUE","Disabled",HYPERLINK("http://127.0.0.1:5173/__dev/asset-source"&amp;"?assetId="&amp;ENCODEURL($A35)&amp;"&amp;sig="&amp;ENCODEURL($B35&amp;"|"&amp;$C35&amp;"|"&amp;$D35&amp;"|"&amp;$E35&amp;"|"&amp;$H35),"Open source")))</f>
        <v>Open source</v>
      </c>
      <c r="K35" s="24" t="str">
        <f>IF($A35="","",IF(OR(UPPER($H35)&lt;&gt;"TRUE",$I35=""),"Unavailable",HYPERLINK("http://127.0.0.1:5173/__dev/asset-resolved"&amp;"?assetId="&amp;ENCODEURL($A35)&amp;"&amp;sig="&amp;ENCODEURL($B35&amp;"|"&amp;$C35&amp;"|"&amp;$D35&amp;"|"&amp;$E35&amp;"|"&amp;$H35),"Open resolved")))</f>
        <v>Open resolved</v>
      </c>
      <c r="L35" s="84" t="s">
        <v>543</v>
      </c>
      <c r="M35" s="24" t="str">
        <f>IF($A35="","",HYPERLINK("#'ASSET_PREVIEW'!A35","Open preview"))</f>
        <v>Open preview</v>
      </c>
      <c r="N35" s="85" t="str">
        <f>IF($A35="","",IF(UPPER($H35)&lt;&gt;"TRUE","DISABLED",IF($C35="external_url",IF(OR(LEFT(LOWER($D35),7)="http://",LEFT(LOWER($D35),8)="https://"),"READY -&gt; "&amp;$I35,"NEEDS HTTP URL"),IF($C35="import_local",IF($D35="","NEEDS SOURCE FILE",IF($E35="","NEEDS TARGET PATH","READY -&gt; "&amp;$I35)),IF($C35="existing_public",IF(IF($D35&lt;&gt;"",$D35,$E35)&lt;&gt;"","READY -&gt; "&amp;$I35,"NEEDS PUBLIC PATH"),"CHECK MODE")))))</f>
        <v>READY -&gt; /assets/testimonials/client11.jpg</v>
      </c>
    </row>
    <row r="36" spans="1:14" x14ac:dyDescent="0.25">
      <c r="A36" s="72" t="s">
        <v>169</v>
      </c>
      <c r="B36" s="72" t="s">
        <v>100</v>
      </c>
      <c r="C36" s="72" t="s">
        <v>101</v>
      </c>
      <c r="D36" s="73" t="s">
        <v>544</v>
      </c>
      <c r="E36" s="73" t="s">
        <v>544</v>
      </c>
      <c r="F36" s="72" t="s">
        <v>545</v>
      </c>
      <c r="G36" s="73" t="s">
        <v>546</v>
      </c>
      <c r="H36" s="77" t="s">
        <v>98</v>
      </c>
      <c r="I36" s="83" t="str">
        <f>IF($A36="","",IF(UPPER($H36)&lt;&gt;"TRUE","",IF($C36="import_local",IF($E36&lt;&gt;"",$E36,""),IF($C36="external_url",$D36,IF(IF($D36&lt;&gt;"",$D36,$E36)&lt;&gt;"",IF($D36&lt;&gt;"",$D36,$E36),"")))))</f>
        <v>/assets/testimonials/pack-leaf.svg</v>
      </c>
      <c r="J36" s="24" t="str">
        <f>IF($A36="","",IF(UPPER($H36)&lt;&gt;"TRUE","Disabled",HYPERLINK("http://127.0.0.1:5173/__dev/asset-source"&amp;"?assetId="&amp;ENCODEURL($A36)&amp;"&amp;sig="&amp;ENCODEURL($B36&amp;"|"&amp;$C36&amp;"|"&amp;$D36&amp;"|"&amp;$E36&amp;"|"&amp;$H36),"Open source")))</f>
        <v>Open source</v>
      </c>
      <c r="K36" s="24" t="str">
        <f>IF($A36="","",IF(OR(UPPER($H36)&lt;&gt;"TRUE",$I36=""),"Unavailable",HYPERLINK("http://127.0.0.1:5173/__dev/asset-resolved"&amp;"?assetId="&amp;ENCODEURL($A36)&amp;"&amp;sig="&amp;ENCODEURL($B36&amp;"|"&amp;$C36&amp;"|"&amp;$D36&amp;"|"&amp;$E36&amp;"|"&amp;$H36),"Open resolved")))</f>
        <v>Open resolved</v>
      </c>
      <c r="L36" s="84" t="s">
        <v>547</v>
      </c>
      <c r="M36" s="24" t="str">
        <f>IF($A36="","",HYPERLINK("#'ASSET_PREVIEW'!A36","Open preview"))</f>
        <v>Open preview</v>
      </c>
      <c r="N36" s="85" t="str">
        <f>IF($A36="","",IF(UPPER($H36)&lt;&gt;"TRUE","DISABLED",IF($C36="external_url",IF(OR(LEFT(LOWER($D36),7)="http://",LEFT(LOWER($D36),8)="https://"),"READY -&gt; "&amp;$I36,"NEEDS HTTP URL"),IF($C36="import_local",IF($D36="","NEEDS SOURCE FILE",IF($E36="","NEEDS TARGET PATH","READY -&gt; "&amp;$I36)),IF($C36="existing_public",IF(IF($D36&lt;&gt;"",$D36,$E36)&lt;&gt;"","READY -&gt; "&amp;$I36,"NEEDS PUBLIC PATH"),"CHECK MODE")))))</f>
        <v>READY -&gt; /assets/testimonials/pack-leaf.svg</v>
      </c>
    </row>
    <row r="37" spans="1:14" x14ac:dyDescent="0.25">
      <c r="A37" s="68" t="s">
        <v>170</v>
      </c>
      <c r="B37" s="68" t="s">
        <v>100</v>
      </c>
      <c r="C37" s="68" t="s">
        <v>101</v>
      </c>
      <c r="D37" s="69" t="s">
        <v>548</v>
      </c>
      <c r="E37" s="69" t="s">
        <v>548</v>
      </c>
      <c r="F37" s="68" t="s">
        <v>545</v>
      </c>
      <c r="G37" s="69" t="s">
        <v>546</v>
      </c>
      <c r="H37" s="76" t="s">
        <v>98</v>
      </c>
      <c r="I37" s="83" t="str">
        <f>IF($A37="","",IF(UPPER($H37)&lt;&gt;"TRUE","",IF($C37="import_local",IF($E37&lt;&gt;"",$E37,""),IF($C37="external_url",$D37,IF(IF($D37&lt;&gt;"",$D37,$E37)&lt;&gt;"",IF($D37&lt;&gt;"",$D37,$E37),"")))))</f>
        <v>/assets/testimonials/pack-av.svg</v>
      </c>
      <c r="J37" s="24" t="str">
        <f>IF($A37="","",IF(UPPER($H37)&lt;&gt;"TRUE","Disabled",HYPERLINK("http://127.0.0.1:5173/__dev/asset-source"&amp;"?assetId="&amp;ENCODEURL($A37)&amp;"&amp;sig="&amp;ENCODEURL($B37&amp;"|"&amp;$C37&amp;"|"&amp;$D37&amp;"|"&amp;$E37&amp;"|"&amp;$H37),"Open source")))</f>
        <v>Open source</v>
      </c>
      <c r="K37" s="24" t="str">
        <f>IF($A37="","",IF(OR(UPPER($H37)&lt;&gt;"TRUE",$I37=""),"Unavailable",HYPERLINK("http://127.0.0.1:5173/__dev/asset-resolved"&amp;"?assetId="&amp;ENCODEURL($A37)&amp;"&amp;sig="&amp;ENCODEURL($B37&amp;"|"&amp;$C37&amp;"|"&amp;$D37&amp;"|"&amp;$E37&amp;"|"&amp;$H37),"Open resolved")))</f>
        <v>Open resolved</v>
      </c>
      <c r="L37" s="84" t="s">
        <v>549</v>
      </c>
      <c r="M37" s="24" t="str">
        <f>IF($A37="","",HYPERLINK("#'ASSET_PREVIEW'!A37","Open preview"))</f>
        <v>Open preview</v>
      </c>
      <c r="N37" s="85" t="str">
        <f>IF($A37="","",IF(UPPER($H37)&lt;&gt;"TRUE","DISABLED",IF($C37="external_url",IF(OR(LEFT(LOWER($D37),7)="http://",LEFT(LOWER($D37),8)="https://"),"READY -&gt; "&amp;$I37,"NEEDS HTTP URL"),IF($C37="import_local",IF($D37="","NEEDS SOURCE FILE",IF($E37="","NEEDS TARGET PATH","READY -&gt; "&amp;$I37)),IF($C37="existing_public",IF(IF($D37&lt;&gt;"",$D37,$E37)&lt;&gt;"","READY -&gt; "&amp;$I37,"NEEDS PUBLIC PATH"),"CHECK MODE")))))</f>
        <v>READY -&gt; /assets/testimonials/pack-av.svg</v>
      </c>
    </row>
    <row r="38" spans="1:14" x14ac:dyDescent="0.25">
      <c r="A38" s="72" t="s">
        <v>171</v>
      </c>
      <c r="B38" s="72" t="s">
        <v>100</v>
      </c>
      <c r="C38" s="72" t="s">
        <v>101</v>
      </c>
      <c r="D38" s="73" t="s">
        <v>550</v>
      </c>
      <c r="E38" s="73" t="s">
        <v>550</v>
      </c>
      <c r="F38" s="72" t="s">
        <v>545</v>
      </c>
      <c r="G38" s="73" t="s">
        <v>546</v>
      </c>
      <c r="H38" s="77" t="s">
        <v>98</v>
      </c>
      <c r="I38" s="83" t="str">
        <f>IF($A38="","",IF(UPPER($H38)&lt;&gt;"TRUE","",IF($C38="import_local",IF($E38&lt;&gt;"",$E38,""),IF($C38="external_url",$D38,IF(IF($D38&lt;&gt;"",$D38,$E38)&lt;&gt;"",IF($D38&lt;&gt;"",$D38,$E38),"")))))</f>
        <v>/assets/testimonials/pack-signature-v2.svg</v>
      </c>
      <c r="J38" s="24" t="str">
        <f>IF($A38="","",IF(UPPER($H38)&lt;&gt;"TRUE","Disabled",HYPERLINK("http://127.0.0.1:5173/__dev/asset-source"&amp;"?assetId="&amp;ENCODEURL($A38)&amp;"&amp;sig="&amp;ENCODEURL($B38&amp;"|"&amp;$C38&amp;"|"&amp;$D38&amp;"|"&amp;$E38&amp;"|"&amp;$H38),"Open source")))</f>
        <v>Open source</v>
      </c>
      <c r="K38" s="24" t="str">
        <f>IF($A38="","",IF(OR(UPPER($H38)&lt;&gt;"TRUE",$I38=""),"Unavailable",HYPERLINK("http://127.0.0.1:5173/__dev/asset-resolved"&amp;"?assetId="&amp;ENCODEURL($A38)&amp;"&amp;sig="&amp;ENCODEURL($B38&amp;"|"&amp;$C38&amp;"|"&amp;$D38&amp;"|"&amp;$E38&amp;"|"&amp;$H38),"Open resolved")))</f>
        <v>Open resolved</v>
      </c>
      <c r="L38" s="84" t="s">
        <v>551</v>
      </c>
      <c r="M38" s="24" t="str">
        <f>IF($A38="","",HYPERLINK("#'ASSET_PREVIEW'!A38","Open preview"))</f>
        <v>Open preview</v>
      </c>
      <c r="N38" s="85" t="str">
        <f>IF($A38="","",IF(UPPER($H38)&lt;&gt;"TRUE","DISABLED",IF($C38="external_url",IF(OR(LEFT(LOWER($D38),7)="http://",LEFT(LOWER($D38),8)="https://"),"READY -&gt; "&amp;$I38,"NEEDS HTTP URL"),IF($C38="import_local",IF($D38="","NEEDS SOURCE FILE",IF($E38="","NEEDS TARGET PATH","READY -&gt; "&amp;$I38)),IF($C38="existing_public",IF(IF($D38&lt;&gt;"",$D38,$E38)&lt;&gt;"","READY -&gt; "&amp;$I38,"NEEDS PUBLIC PATH"),"CHECK MODE")))))</f>
        <v>READY -&gt; /assets/testimonials/pack-signature-v2.svg</v>
      </c>
    </row>
    <row r="39" spans="1:14" x14ac:dyDescent="0.25">
      <c r="A39" s="68" t="s">
        <v>172</v>
      </c>
      <c r="B39" s="68" t="s">
        <v>100</v>
      </c>
      <c r="C39" s="68" t="s">
        <v>101</v>
      </c>
      <c r="D39" s="69" t="s">
        <v>552</v>
      </c>
      <c r="E39" s="69" t="s">
        <v>552</v>
      </c>
      <c r="F39" s="68" t="s">
        <v>521</v>
      </c>
      <c r="G39" s="69" t="s">
        <v>553</v>
      </c>
      <c r="H39" s="76" t="s">
        <v>98</v>
      </c>
      <c r="I39" s="83" t="str">
        <f>IF($A39="","",IF(UPPER($H39)&lt;&gt;"TRUE","",IF($C39="import_local",IF($E39&lt;&gt;"",$E39,""),IF($C39="external_url",$D39,IF(IF($D39&lt;&gt;"",$D39,$E39)&lt;&gt;"",IF($D39&lt;&gt;"",$D39,$E39),"")))))</f>
        <v>/assets/testimonials/client12.jpg</v>
      </c>
      <c r="J39" s="24" t="str">
        <f>IF($A39="","",IF(UPPER($H39)&lt;&gt;"TRUE","Disabled",HYPERLINK("http://127.0.0.1:5173/__dev/asset-source"&amp;"?assetId="&amp;ENCODEURL($A39)&amp;"&amp;sig="&amp;ENCODEURL($B39&amp;"|"&amp;$C39&amp;"|"&amp;$D39&amp;"|"&amp;$E39&amp;"|"&amp;$H39),"Open source")))</f>
        <v>Open source</v>
      </c>
      <c r="K39" s="24" t="str">
        <f>IF($A39="","",IF(OR(UPPER($H39)&lt;&gt;"TRUE",$I39=""),"Unavailable",HYPERLINK("http://127.0.0.1:5173/__dev/asset-resolved"&amp;"?assetId="&amp;ENCODEURL($A39)&amp;"&amp;sig="&amp;ENCODEURL($B39&amp;"|"&amp;$C39&amp;"|"&amp;$D39&amp;"|"&amp;$E39&amp;"|"&amp;$H39),"Open resolved")))</f>
        <v>Open resolved</v>
      </c>
      <c r="L39" s="84" t="s">
        <v>554</v>
      </c>
      <c r="M39" s="24" t="str">
        <f>IF($A39="","",HYPERLINK("#'ASSET_PREVIEW'!A39","Open preview"))</f>
        <v>Open preview</v>
      </c>
      <c r="N39" s="85" t="str">
        <f>IF($A39="","",IF(UPPER($H39)&lt;&gt;"TRUE","DISABLED",IF($C39="external_url",IF(OR(LEFT(LOWER($D39),7)="http://",LEFT(LOWER($D39),8)="https://"),"READY -&gt; "&amp;$I39,"NEEDS HTTP URL"),IF($C39="import_local",IF($D39="","NEEDS SOURCE FILE",IF($E39="","NEEDS TARGET PATH","READY -&gt; "&amp;$I39)),IF($C39="existing_public",IF(IF($D39&lt;&gt;"",$D39,$E39)&lt;&gt;"","READY -&gt; "&amp;$I39,"NEEDS PUBLIC PATH"),"CHECK MODE")))))</f>
        <v>READY -&gt; /assets/testimonials/client12.jpg</v>
      </c>
    </row>
    <row r="40" spans="1:14" x14ac:dyDescent="0.25">
      <c r="A40" s="72" t="s">
        <v>173</v>
      </c>
      <c r="B40" s="72" t="s">
        <v>100</v>
      </c>
      <c r="C40" s="72" t="s">
        <v>101</v>
      </c>
      <c r="D40" s="73" t="s">
        <v>555</v>
      </c>
      <c r="E40" s="73" t="s">
        <v>555</v>
      </c>
      <c r="F40" s="72" t="s">
        <v>521</v>
      </c>
      <c r="G40" s="73" t="s">
        <v>553</v>
      </c>
      <c r="H40" s="77" t="s">
        <v>98</v>
      </c>
      <c r="I40" s="83" t="str">
        <f>IF($A40="","",IF(UPPER($H40)&lt;&gt;"TRUE","",IF($C40="import_local",IF($E40&lt;&gt;"",$E40,""),IF($C40="external_url",$D40,IF(IF($D40&lt;&gt;"",$D40,$E40)&lt;&gt;"",IF($D40&lt;&gt;"",$D40,$E40),"")))))</f>
        <v>/assets/testimonials/client13.jpg</v>
      </c>
      <c r="J40" s="24" t="str">
        <f>IF($A40="","",IF(UPPER($H40)&lt;&gt;"TRUE","Disabled",HYPERLINK("http://127.0.0.1:5173/__dev/asset-source"&amp;"?assetId="&amp;ENCODEURL($A40)&amp;"&amp;sig="&amp;ENCODEURL($B40&amp;"|"&amp;$C40&amp;"|"&amp;$D40&amp;"|"&amp;$E40&amp;"|"&amp;$H40),"Open source")))</f>
        <v>Open source</v>
      </c>
      <c r="K40" s="24" t="str">
        <f>IF($A40="","",IF(OR(UPPER($H40)&lt;&gt;"TRUE",$I40=""),"Unavailable",HYPERLINK("http://127.0.0.1:5173/__dev/asset-resolved"&amp;"?assetId="&amp;ENCODEURL($A40)&amp;"&amp;sig="&amp;ENCODEURL($B40&amp;"|"&amp;$C40&amp;"|"&amp;$D40&amp;"|"&amp;$E40&amp;"|"&amp;$H40),"Open resolved")))</f>
        <v>Open resolved</v>
      </c>
      <c r="L40" s="84" t="s">
        <v>556</v>
      </c>
      <c r="M40" s="24" t="str">
        <f>IF($A40="","",HYPERLINK("#'ASSET_PREVIEW'!A40","Open preview"))</f>
        <v>Open preview</v>
      </c>
      <c r="N40" s="85" t="str">
        <f>IF($A40="","",IF(UPPER($H40)&lt;&gt;"TRUE","DISABLED",IF($C40="external_url",IF(OR(LEFT(LOWER($D40),7)="http://",LEFT(LOWER($D40),8)="https://"),"READY -&gt; "&amp;$I40,"NEEDS HTTP URL"),IF($C40="import_local",IF($D40="","NEEDS SOURCE FILE",IF($E40="","NEEDS TARGET PATH","READY -&gt; "&amp;$I40)),IF($C40="existing_public",IF(IF($D40&lt;&gt;"",$D40,$E40)&lt;&gt;"","READY -&gt; "&amp;$I40,"NEEDS PUBLIC PATH"),"CHECK MODE")))))</f>
        <v>READY -&gt; /assets/testimonials/client13.jpg</v>
      </c>
    </row>
    <row r="41" spans="1:14" x14ac:dyDescent="0.25">
      <c r="A41" s="68" t="s">
        <v>174</v>
      </c>
      <c r="B41" s="68" t="s">
        <v>100</v>
      </c>
      <c r="C41" s="68" t="s">
        <v>101</v>
      </c>
      <c r="D41" s="69" t="s">
        <v>557</v>
      </c>
      <c r="E41" s="69" t="s">
        <v>557</v>
      </c>
      <c r="F41" s="68" t="s">
        <v>521</v>
      </c>
      <c r="G41" s="69" t="s">
        <v>553</v>
      </c>
      <c r="H41" s="76" t="s">
        <v>98</v>
      </c>
      <c r="I41" s="83" t="str">
        <f>IF($A41="","",IF(UPPER($H41)&lt;&gt;"TRUE","",IF($C41="import_local",IF($E41&lt;&gt;"",$E41,""),IF($C41="external_url",$D41,IF(IF($D41&lt;&gt;"",$D41,$E41)&lt;&gt;"",IF($D41&lt;&gt;"",$D41,$E41),"")))))</f>
        <v>/assets/testimonials/client14.jpg</v>
      </c>
      <c r="J41" s="24" t="str">
        <f>IF($A41="","",IF(UPPER($H41)&lt;&gt;"TRUE","Disabled",HYPERLINK("http://127.0.0.1:5173/__dev/asset-source"&amp;"?assetId="&amp;ENCODEURL($A41)&amp;"&amp;sig="&amp;ENCODEURL($B41&amp;"|"&amp;$C41&amp;"|"&amp;$D41&amp;"|"&amp;$E41&amp;"|"&amp;$H41),"Open source")))</f>
        <v>Open source</v>
      </c>
      <c r="K41" s="24" t="str">
        <f>IF($A41="","",IF(OR(UPPER($H41)&lt;&gt;"TRUE",$I41=""),"Unavailable",HYPERLINK("http://127.0.0.1:5173/__dev/asset-resolved"&amp;"?assetId="&amp;ENCODEURL($A41)&amp;"&amp;sig="&amp;ENCODEURL($B41&amp;"|"&amp;$C41&amp;"|"&amp;$D41&amp;"|"&amp;$E41&amp;"|"&amp;$H41),"Open resolved")))</f>
        <v>Open resolved</v>
      </c>
      <c r="L41" s="84" t="s">
        <v>558</v>
      </c>
      <c r="M41" s="24" t="str">
        <f>IF($A41="","",HYPERLINK("#'ASSET_PREVIEW'!A41","Open preview"))</f>
        <v>Open preview</v>
      </c>
      <c r="N41" s="85" t="str">
        <f>IF($A41="","",IF(UPPER($H41)&lt;&gt;"TRUE","DISABLED",IF($C41="external_url",IF(OR(LEFT(LOWER($D41),7)="http://",LEFT(LOWER($D41),8)="https://"),"READY -&gt; "&amp;$I41,"NEEDS HTTP URL"),IF($C41="import_local",IF($D41="","NEEDS SOURCE FILE",IF($E41="","NEEDS TARGET PATH","READY -&gt; "&amp;$I41)),IF($C41="existing_public",IF(IF($D41&lt;&gt;"",$D41,$E41)&lt;&gt;"","READY -&gt; "&amp;$I41,"NEEDS PUBLIC PATH"),"CHECK MODE")))))</f>
        <v>READY -&gt; /assets/testimonials/client14.jpg</v>
      </c>
    </row>
    <row r="42" spans="1:14" x14ac:dyDescent="0.25">
      <c r="A42" s="72" t="s">
        <v>175</v>
      </c>
      <c r="B42" s="72" t="s">
        <v>100</v>
      </c>
      <c r="C42" s="72" t="s">
        <v>101</v>
      </c>
      <c r="D42" s="73" t="s">
        <v>559</v>
      </c>
      <c r="E42" s="73" t="s">
        <v>559</v>
      </c>
      <c r="F42" s="72" t="s">
        <v>521</v>
      </c>
      <c r="G42" s="73" t="s">
        <v>553</v>
      </c>
      <c r="H42" s="77" t="s">
        <v>98</v>
      </c>
      <c r="I42" s="83" t="str">
        <f>IF($A42="","",IF(UPPER($H42)&lt;&gt;"TRUE","",IF($C42="import_local",IF($E42&lt;&gt;"",$E42,""),IF($C42="external_url",$D42,IF(IF($D42&lt;&gt;"",$D42,$E42)&lt;&gt;"",IF($D42&lt;&gt;"",$D42,$E42),"")))))</f>
        <v>/assets/testimonials/client15.jpg</v>
      </c>
      <c r="J42" s="24" t="str">
        <f>IF($A42="","",IF(UPPER($H42)&lt;&gt;"TRUE","Disabled",HYPERLINK("http://127.0.0.1:5173/__dev/asset-source"&amp;"?assetId="&amp;ENCODEURL($A42)&amp;"&amp;sig="&amp;ENCODEURL($B42&amp;"|"&amp;$C42&amp;"|"&amp;$D42&amp;"|"&amp;$E42&amp;"|"&amp;$H42),"Open source")))</f>
        <v>Open source</v>
      </c>
      <c r="K42" s="24" t="str">
        <f>IF($A42="","",IF(OR(UPPER($H42)&lt;&gt;"TRUE",$I42=""),"Unavailable",HYPERLINK("http://127.0.0.1:5173/__dev/asset-resolved"&amp;"?assetId="&amp;ENCODEURL($A42)&amp;"&amp;sig="&amp;ENCODEURL($B42&amp;"|"&amp;$C42&amp;"|"&amp;$D42&amp;"|"&amp;$E42&amp;"|"&amp;$H42),"Open resolved")))</f>
        <v>Open resolved</v>
      </c>
      <c r="L42" s="84" t="s">
        <v>560</v>
      </c>
      <c r="M42" s="24" t="str">
        <f>IF($A42="","",HYPERLINK("#'ASSET_PREVIEW'!A42","Open preview"))</f>
        <v>Open preview</v>
      </c>
      <c r="N42" s="85" t="str">
        <f>IF($A42="","",IF(UPPER($H42)&lt;&gt;"TRUE","DISABLED",IF($C42="external_url",IF(OR(LEFT(LOWER($D42),7)="http://",LEFT(LOWER($D42),8)="https://"),"READY -&gt; "&amp;$I42,"NEEDS HTTP URL"),IF($C42="import_local",IF($D42="","NEEDS SOURCE FILE",IF($E42="","NEEDS TARGET PATH","READY -&gt; "&amp;$I42)),IF($C42="existing_public",IF(IF($D42&lt;&gt;"",$D42,$E42)&lt;&gt;"","READY -&gt; "&amp;$I42,"NEEDS PUBLIC PATH"),"CHECK MODE")))))</f>
        <v>READY -&gt; /assets/testimonials/client15.jpg</v>
      </c>
    </row>
    <row r="43" spans="1:14" x14ac:dyDescent="0.25">
      <c r="A43" s="68" t="s">
        <v>176</v>
      </c>
      <c r="B43" s="68" t="s">
        <v>100</v>
      </c>
      <c r="C43" s="68" t="s">
        <v>101</v>
      </c>
      <c r="D43" s="69" t="s">
        <v>561</v>
      </c>
      <c r="E43" s="69" t="s">
        <v>561</v>
      </c>
      <c r="F43" s="68" t="s">
        <v>545</v>
      </c>
      <c r="G43" s="69" t="s">
        <v>562</v>
      </c>
      <c r="H43" s="76" t="s">
        <v>98</v>
      </c>
      <c r="I43" s="83" t="str">
        <f>IF($A43="","",IF(UPPER($H43)&lt;&gt;"TRUE","",IF($C43="import_local",IF($E43&lt;&gt;"",$E43,""),IF($C43="external_url",$D43,IF(IF($D43&lt;&gt;"",$D43,$E43)&lt;&gt;"",IF($D43&lt;&gt;"",$D43,$E43),"")))))</f>
        <v>/assets/testimonials/pack-smark.svg</v>
      </c>
      <c r="J43" s="24" t="str">
        <f>IF($A43="","",IF(UPPER($H43)&lt;&gt;"TRUE","Disabled",HYPERLINK("http://127.0.0.1:5173/__dev/asset-source"&amp;"?assetId="&amp;ENCODEURL($A43)&amp;"&amp;sig="&amp;ENCODEURL($B43&amp;"|"&amp;$C43&amp;"|"&amp;$D43&amp;"|"&amp;$E43&amp;"|"&amp;$H43),"Open source")))</f>
        <v>Open source</v>
      </c>
      <c r="K43" s="24" t="str">
        <f>IF($A43="","",IF(OR(UPPER($H43)&lt;&gt;"TRUE",$I43=""),"Unavailable",HYPERLINK("http://127.0.0.1:5173/__dev/asset-resolved"&amp;"?assetId="&amp;ENCODEURL($A43)&amp;"&amp;sig="&amp;ENCODEURL($B43&amp;"|"&amp;$C43&amp;"|"&amp;$D43&amp;"|"&amp;$E43&amp;"|"&amp;$H43),"Open resolved")))</f>
        <v>Open resolved</v>
      </c>
      <c r="L43" s="86" t="s">
        <v>540</v>
      </c>
      <c r="M43" s="24" t="str">
        <f>IF($A43="","",HYPERLINK("#'ASSET_PREVIEW'!A43","Open preview"))</f>
        <v>Open preview</v>
      </c>
      <c r="N43" s="85" t="str">
        <f>IF($A43="","",IF(UPPER($H43)&lt;&gt;"TRUE","DISABLED",IF($C43="external_url",IF(OR(LEFT(LOWER($D43),7)="http://",LEFT(LOWER($D43),8)="https://"),"READY -&gt; "&amp;$I43,"NEEDS HTTP URL"),IF($C43="import_local",IF($D43="","NEEDS SOURCE FILE",IF($E43="","NEEDS TARGET PATH","READY -&gt; "&amp;$I43)),IF($C43="existing_public",IF(IF($D43&lt;&gt;"",$D43,$E43)&lt;&gt;"","READY -&gt; "&amp;$I43,"NEEDS PUBLIC PATH"),"CHECK MODE")))))</f>
        <v>READY -&gt; /assets/testimonials/pack-smark.svg</v>
      </c>
    </row>
    <row r="44" spans="1:14" x14ac:dyDescent="0.25">
      <c r="A44" s="72" t="s">
        <v>177</v>
      </c>
      <c r="B44" s="72" t="s">
        <v>100</v>
      </c>
      <c r="C44" s="72" t="s">
        <v>101</v>
      </c>
      <c r="D44" s="73" t="s">
        <v>563</v>
      </c>
      <c r="E44" s="73" t="s">
        <v>563</v>
      </c>
      <c r="F44" s="72" t="s">
        <v>545</v>
      </c>
      <c r="G44" s="73" t="s">
        <v>562</v>
      </c>
      <c r="H44" s="77" t="s">
        <v>98</v>
      </c>
      <c r="I44" s="83" t="str">
        <f>IF($A44="","",IF(UPPER($H44)&lt;&gt;"TRUE","",IF($C44="import_local",IF($E44&lt;&gt;"",$E44,""),IF($C44="external_url",$D44,IF(IF($D44&lt;&gt;"",$D44,$E44)&lt;&gt;"",IF($D44&lt;&gt;"",$D44,$E44),"")))))</f>
        <v>/assets/testimonials/pack-mountain.svg</v>
      </c>
      <c r="J44" s="24" t="str">
        <f>IF($A44="","",IF(UPPER($H44)&lt;&gt;"TRUE","Disabled",HYPERLINK("http://127.0.0.1:5173/__dev/asset-source"&amp;"?assetId="&amp;ENCODEURL($A44)&amp;"&amp;sig="&amp;ENCODEURL($B44&amp;"|"&amp;$C44&amp;"|"&amp;$D44&amp;"|"&amp;$E44&amp;"|"&amp;$H44),"Open source")))</f>
        <v>Open source</v>
      </c>
      <c r="K44" s="24" t="str">
        <f>IF($A44="","",IF(OR(UPPER($H44)&lt;&gt;"TRUE",$I44=""),"Unavailable",HYPERLINK("http://127.0.0.1:5173/__dev/asset-resolved"&amp;"?assetId="&amp;ENCODEURL($A44)&amp;"&amp;sig="&amp;ENCODEURL($B44&amp;"|"&amp;$C44&amp;"|"&amp;$D44&amp;"|"&amp;$E44&amp;"|"&amp;$H44),"Open resolved")))</f>
        <v>Open resolved</v>
      </c>
      <c r="L44" s="86" t="s">
        <v>540</v>
      </c>
      <c r="M44" s="24" t="str">
        <f>IF($A44="","",HYPERLINK("#'ASSET_PREVIEW'!A44","Open preview"))</f>
        <v>Open preview</v>
      </c>
      <c r="N44" s="85" t="str">
        <f>IF($A44="","",IF(UPPER($H44)&lt;&gt;"TRUE","DISABLED",IF($C44="external_url",IF(OR(LEFT(LOWER($D44),7)="http://",LEFT(LOWER($D44),8)="https://"),"READY -&gt; "&amp;$I44,"NEEDS HTTP URL"),IF($C44="import_local",IF($D44="","NEEDS SOURCE FILE",IF($E44="","NEEDS TARGET PATH","READY -&gt; "&amp;$I44)),IF($C44="existing_public",IF(IF($D44&lt;&gt;"",$D44,$E44)&lt;&gt;"","READY -&gt; "&amp;$I44,"NEEDS PUBLIC PATH"),"CHECK MODE")))))</f>
        <v>READY -&gt; /assets/testimonials/pack-mountain.svg</v>
      </c>
    </row>
    <row r="45" spans="1:14" x14ac:dyDescent="0.25">
      <c r="A45" s="68" t="s">
        <v>178</v>
      </c>
      <c r="B45" s="68" t="s">
        <v>102</v>
      </c>
      <c r="C45" s="68" t="s">
        <v>101</v>
      </c>
      <c r="D45" s="69" t="s">
        <v>564</v>
      </c>
      <c r="E45" s="69" t="s">
        <v>564</v>
      </c>
      <c r="F45" s="68" t="s">
        <v>565</v>
      </c>
      <c r="G45" s="69" t="s">
        <v>566</v>
      </c>
      <c r="H45" s="76" t="s">
        <v>98</v>
      </c>
      <c r="I45" s="83" t="str">
        <f>IF($A45="","",IF(UPPER($H45)&lt;&gt;"TRUE","",IF($C45="import_local",IF($E45&lt;&gt;"",$E45,""),IF($C45="external_url",$D45,IF(IF($D45&lt;&gt;"",$D45,$E45)&lt;&gt;"",IF($D45&lt;&gt;"",$D45,$E45),"")))))</f>
        <v>/assets/projects/remote-pc-bridge.mp4</v>
      </c>
      <c r="J45" s="24" t="str">
        <f>IF($A45="","",IF(UPPER($H45)&lt;&gt;"TRUE","Disabled",HYPERLINK("http://127.0.0.1:5173/__dev/asset-source"&amp;"?assetId="&amp;ENCODEURL($A45)&amp;"&amp;sig="&amp;ENCODEURL($B45&amp;"|"&amp;$C45&amp;"|"&amp;$D45&amp;"|"&amp;$E45&amp;"|"&amp;$H45),"Open source")))</f>
        <v>Open source</v>
      </c>
      <c r="K45" s="24" t="str">
        <f>IF($A45="","",IF(OR(UPPER($H45)&lt;&gt;"TRUE",$I45=""),"Unavailable",HYPERLINK("http://127.0.0.1:5173/__dev/asset-resolved"&amp;"?assetId="&amp;ENCODEURL($A45)&amp;"&amp;sig="&amp;ENCODEURL($B45&amp;"|"&amp;$C45&amp;"|"&amp;$D45&amp;"|"&amp;$E45&amp;"|"&amp;$H45),"Open resolved")))</f>
        <v>Open resolved</v>
      </c>
      <c r="L45" s="84" t="s">
        <v>567</v>
      </c>
      <c r="M45" s="24" t="str">
        <f>IF($A45="","",HYPERLINK("#'ASSET_PREVIEW'!A45","Open preview"))</f>
        <v>Open preview</v>
      </c>
      <c r="N45" s="85" t="str">
        <f>IF($A45="","",IF(UPPER($H45)&lt;&gt;"TRUE","DISABLED",IF($C45="external_url",IF(OR(LEFT(LOWER($D45),7)="http://",LEFT(LOWER($D45),8)="https://"),"READY -&gt; "&amp;$I45,"NEEDS HTTP URL"),IF($C45="import_local",IF($D45="","NEEDS SOURCE FILE",IF($E45="","NEEDS TARGET PATH","READY -&gt; "&amp;$I45)),IF($C45="existing_public",IF(IF($D45&lt;&gt;"",$D45,$E45)&lt;&gt;"","READY -&gt; "&amp;$I45,"NEEDS PUBLIC PATH"),"CHECK MODE")))))</f>
        <v>READY -&gt; /assets/projects/remote-pc-bridge.mp4</v>
      </c>
    </row>
    <row r="46" spans="1:14" x14ac:dyDescent="0.25">
      <c r="A46" s="72" t="s">
        <v>179</v>
      </c>
      <c r="B46" s="72" t="s">
        <v>100</v>
      </c>
      <c r="C46" s="72" t="s">
        <v>101</v>
      </c>
      <c r="D46" s="73" t="s">
        <v>568</v>
      </c>
      <c r="E46" s="73" t="s">
        <v>568</v>
      </c>
      <c r="F46" s="72" t="s">
        <v>569</v>
      </c>
      <c r="G46" s="73" t="s">
        <v>570</v>
      </c>
      <c r="H46" s="77" t="s">
        <v>98</v>
      </c>
      <c r="I46" s="83" t="str">
        <f>IF($A46="","",IF(UPPER($H46)&lt;&gt;"TRUE","",IF($C46="import_local",IF($E46&lt;&gt;"",$E46,""),IF($C46="external_url",$D46,IF(IF($D46&lt;&gt;"",$D46,$E46)&lt;&gt;"",IF($D46&lt;&gt;"",$D46,$E46),"")))))</f>
        <v>/assets/projects/remote-pc-bridge.jpg</v>
      </c>
      <c r="J46" s="24" t="str">
        <f>IF($A46="","",IF(UPPER($H46)&lt;&gt;"TRUE","Disabled",HYPERLINK("http://127.0.0.1:5173/__dev/asset-source"&amp;"?assetId="&amp;ENCODEURL($A46)&amp;"&amp;sig="&amp;ENCODEURL($B46&amp;"|"&amp;$C46&amp;"|"&amp;$D46&amp;"|"&amp;$E46&amp;"|"&amp;$H46),"Open source")))</f>
        <v>Open source</v>
      </c>
      <c r="K46" s="24" t="str">
        <f>IF($A46="","",IF(OR(UPPER($H46)&lt;&gt;"TRUE",$I46=""),"Unavailable",HYPERLINK("http://127.0.0.1:5173/__dev/asset-resolved"&amp;"?assetId="&amp;ENCODEURL($A46)&amp;"&amp;sig="&amp;ENCODEURL($B46&amp;"|"&amp;$C46&amp;"|"&amp;$D46&amp;"|"&amp;$E46&amp;"|"&amp;$H46),"Open resolved")))</f>
        <v>Open resolved</v>
      </c>
      <c r="L46" s="84" t="s">
        <v>571</v>
      </c>
      <c r="M46" s="24" t="str">
        <f>IF($A46="","",HYPERLINK("#'ASSET_PREVIEW'!A46","Open preview"))</f>
        <v>Open preview</v>
      </c>
      <c r="N46" s="85" t="str">
        <f>IF($A46="","",IF(UPPER($H46)&lt;&gt;"TRUE","DISABLED",IF($C46="external_url",IF(OR(LEFT(LOWER($D46),7)="http://",LEFT(LOWER($D46),8)="https://"),"READY -&gt; "&amp;$I46,"NEEDS HTTP URL"),IF($C46="import_local",IF($D46="","NEEDS SOURCE FILE",IF($E46="","NEEDS TARGET PATH","READY -&gt; "&amp;$I46)),IF($C46="existing_public",IF(IF($D46&lt;&gt;"",$D46,$E46)&lt;&gt;"","READY -&gt; "&amp;$I46,"NEEDS PUBLIC PATH"),"CHECK MODE")))))</f>
        <v>READY -&gt; /assets/projects/remote-pc-bridge.jpg</v>
      </c>
    </row>
    <row r="47" spans="1:14" x14ac:dyDescent="0.25">
      <c r="A47" s="68" t="s">
        <v>180</v>
      </c>
      <c r="B47" s="68" t="s">
        <v>125</v>
      </c>
      <c r="C47" s="68" t="s">
        <v>101</v>
      </c>
      <c r="D47" s="69" t="s">
        <v>572</v>
      </c>
      <c r="E47" s="69" t="s">
        <v>572</v>
      </c>
      <c r="F47" s="68" t="s">
        <v>573</v>
      </c>
      <c r="G47" s="69" t="s">
        <v>574</v>
      </c>
      <c r="H47" s="76" t="s">
        <v>98</v>
      </c>
      <c r="I47" s="83" t="str">
        <f>IF($A47="","",IF(UPPER($H47)&lt;&gt;"TRUE","",IF($C47="import_local",IF($E47&lt;&gt;"",$E47,""),IF($C47="external_url",$D47,IF(IF($D47&lt;&gt;"",$D47,$E47)&lt;&gt;"",IF($D47&lt;&gt;"",$D47,$E47),"")))))</f>
        <v>/assets/projects/remote-pc-bridge-icon.png</v>
      </c>
      <c r="J47" s="24" t="str">
        <f>IF($A47="","",IF(UPPER($H47)&lt;&gt;"TRUE","Disabled",HYPERLINK("http://127.0.0.1:5173/__dev/asset-source"&amp;"?assetId="&amp;ENCODEURL($A47)&amp;"&amp;sig="&amp;ENCODEURL($B47&amp;"|"&amp;$C47&amp;"|"&amp;$D47&amp;"|"&amp;$E47&amp;"|"&amp;$H47),"Open source")))</f>
        <v>Open source</v>
      </c>
      <c r="K47" s="24" t="str">
        <f>IF($A47="","",IF(OR(UPPER($H47)&lt;&gt;"TRUE",$I47=""),"Unavailable",HYPERLINK("http://127.0.0.1:5173/__dev/asset-resolved"&amp;"?assetId="&amp;ENCODEURL($A47)&amp;"&amp;sig="&amp;ENCODEURL($B47&amp;"|"&amp;$C47&amp;"|"&amp;$D47&amp;"|"&amp;$E47&amp;"|"&amp;$H47),"Open resolved")))</f>
        <v>Open resolved</v>
      </c>
      <c r="L47" s="84" t="s">
        <v>573</v>
      </c>
      <c r="M47" s="24" t="str">
        <f>IF($A47="","",HYPERLINK("#'ASSET_PREVIEW'!A47","Open preview"))</f>
        <v>Open preview</v>
      </c>
      <c r="N47" s="85" t="str">
        <f>IF($A47="","",IF(UPPER($H47)&lt;&gt;"TRUE","DISABLED",IF($C47="external_url",IF(OR(LEFT(LOWER($D47),7)="http://",LEFT(LOWER($D47),8)="https://"),"READY -&gt; "&amp;$I47,"NEEDS HTTP URL"),IF($C47="import_local",IF($D47="","NEEDS SOURCE FILE",IF($E47="","NEEDS TARGET PATH","READY -&gt; "&amp;$I47)),IF($C47="existing_public",IF(IF($D47&lt;&gt;"",$D47,$E47)&lt;&gt;"","READY -&gt; "&amp;$I47,"NEEDS PUBLIC PATH"),"CHECK MODE")))))</f>
        <v>READY -&gt; /assets/projects/remote-pc-bridge-icon.png</v>
      </c>
    </row>
    <row r="48" ht="50" customHeight="1" spans="1:14" x14ac:dyDescent="0.25">
      <c r="A48" s="72" t="s">
        <v>181</v>
      </c>
      <c r="B48" s="72" t="s">
        <v>100</v>
      </c>
      <c r="C48" s="72" t="s">
        <v>101</v>
      </c>
      <c r="D48" s="73" t="s">
        <v>575</v>
      </c>
      <c r="E48" s="73" t="s">
        <v>575</v>
      </c>
      <c r="F48" s="72" t="s">
        <v>576</v>
      </c>
      <c r="G48" s="73" t="s">
        <v>577</v>
      </c>
      <c r="H48" s="77" t="s">
        <v>98</v>
      </c>
      <c r="I48" s="83" t="str">
        <f>IF($A48="","",IF(UPPER($H48)&lt;&gt;"TRUE","",IF($C48="import_local",IF($E48&lt;&gt;"",$E48,""),IF($C48="external_url",$D48,IF(IF($D48&lt;&gt;"",$D48,$E48)&lt;&gt;"",IF($D48&lt;&gt;"",$D48,$E48),"")))))</f>
        <v>/assets/projects/datacraft/cover.webp</v>
      </c>
      <c r="J48" s="24" t="str">
        <f>IF($A48="","",IF(UPPER($H48)&lt;&gt;"TRUE","Disabled",HYPERLINK("http://127.0.0.1:5173/__dev/asset-source"&amp;"?assetId="&amp;ENCODEURL($A48)&amp;"&amp;sig="&amp;ENCODEURL($B48&amp;"|"&amp;$C48&amp;"|"&amp;$D48&amp;"|"&amp;$E48&amp;"|"&amp;$H48),"Open source")))</f>
        <v>Open source</v>
      </c>
      <c r="K48" s="24" t="str">
        <f>IF($A48="","",IF(OR(UPPER($H48)&lt;&gt;"TRUE",$I48=""),"Unavailable",HYPERLINK("http://127.0.0.1:5173/__dev/asset-resolved"&amp;"?assetId="&amp;ENCODEURL($A48)&amp;"&amp;sig="&amp;ENCODEURL($B48&amp;"|"&amp;$C48&amp;"|"&amp;$D48&amp;"|"&amp;$E48&amp;"|"&amp;$H48),"Open resolved")))</f>
        <v>Open resolved</v>
      </c>
      <c r="L48" s="84" t="s">
        <v>578</v>
      </c>
      <c r="M48" s="24" t="str">
        <f>IF($A48="","",HYPERLINK("#'ASSET_PREVIEW'!A48","Open preview"))</f>
        <v>Open preview</v>
      </c>
      <c r="N48" s="85" t="str">
        <f>IF($A48="","",IF(UPPER($H48)&lt;&gt;"TRUE","DISABLED",IF($C48="external_url",IF(OR(LEFT(LOWER($D48),7)="http://",LEFT(LOWER($D48),8)="https://"),"READY -&gt; "&amp;$I48,"NEEDS HTTP URL"),IF($C48="import_local",IF($D48="","NEEDS SOURCE FILE",IF($E48="","NEEDS TARGET PATH","READY -&gt; "&amp;$I48)),IF($C48="existing_public",IF(IF($D48&lt;&gt;"",$D48,$E48)&lt;&gt;"","READY -&gt; "&amp;$I48,"NEEDS PUBLIC PATH"),"CHECK MODE")))))</f>
        <v>READY -&gt; /assets/projects/datacraft/cover.webp</v>
      </c>
    </row>
    <row r="49" ht="50" customHeight="1" spans="1:14" x14ac:dyDescent="0.25">
      <c r="A49" s="68" t="s">
        <v>182</v>
      </c>
      <c r="B49" s="68" t="s">
        <v>125</v>
      </c>
      <c r="C49" s="68" t="s">
        <v>101</v>
      </c>
      <c r="D49" s="69" t="s">
        <v>579</v>
      </c>
      <c r="E49" s="69" t="s">
        <v>579</v>
      </c>
      <c r="F49" s="68" t="s">
        <v>580</v>
      </c>
      <c r="G49" s="69" t="s">
        <v>577</v>
      </c>
      <c r="H49" s="76" t="s">
        <v>98</v>
      </c>
      <c r="I49" s="83" t="str">
        <f>IF($A49="","",IF(UPPER($H49)&lt;&gt;"TRUE","",IF($C49="import_local",IF($E49&lt;&gt;"",$E49,""),IF($C49="external_url",$D49,IF(IF($D49&lt;&gt;"",$D49,$E49)&lt;&gt;"",IF($D49&lt;&gt;"",$D49,$E49),"")))))</f>
        <v>/assets/projects/datacraft/symbol.svg</v>
      </c>
      <c r="J49" s="24" t="str">
        <f>IF($A49="","",IF(UPPER($H49)&lt;&gt;"TRUE","Disabled",HYPERLINK("http://127.0.0.1:5173/__dev/asset-source"&amp;"?assetId="&amp;ENCODEURL($A49)&amp;"&amp;sig="&amp;ENCODEURL($B49&amp;"|"&amp;$C49&amp;"|"&amp;$D49&amp;"|"&amp;$E49&amp;"|"&amp;$H49),"Open source")))</f>
        <v>Open source</v>
      </c>
      <c r="K49" s="24" t="str">
        <f>IF($A49="","",IF(OR(UPPER($H49)&lt;&gt;"TRUE",$I49=""),"Unavailable",HYPERLINK("http://127.0.0.1:5173/__dev/asset-resolved"&amp;"?assetId="&amp;ENCODEURL($A49)&amp;"&amp;sig="&amp;ENCODEURL($B49&amp;"|"&amp;$C49&amp;"|"&amp;$D49&amp;"|"&amp;$E49&amp;"|"&amp;$H49),"Open resolved")))</f>
        <v>Open resolved</v>
      </c>
      <c r="L49" s="84" t="s">
        <v>581</v>
      </c>
      <c r="M49" s="24" t="str">
        <f>IF($A49="","",HYPERLINK("#'ASSET_PREVIEW'!A49","Open preview"))</f>
        <v>Open preview</v>
      </c>
      <c r="N49" s="85" t="str">
        <f>IF($A49="","",IF(UPPER($H49)&lt;&gt;"TRUE","DISABLED",IF($C49="external_url",IF(OR(LEFT(LOWER($D49),7)="http://",LEFT(LOWER($D49),8)="https://"),"READY -&gt; "&amp;$I49,"NEEDS HTTP URL"),IF($C49="import_local",IF($D49="","NEEDS SOURCE FILE",IF($E49="","NEEDS TARGET PATH","READY -&gt; "&amp;$I49)),IF($C49="existing_public",IF(IF($D49&lt;&gt;"",$D49,$E49)&lt;&gt;"","READY -&gt; "&amp;$I49,"NEEDS PUBLIC PATH"),"CHECK MODE")))))</f>
        <v>READY -&gt; /assets/projects/datacraft/symbol.svg</v>
      </c>
    </row>
    <row r="50" ht="50" customHeight="1" spans="1:14" x14ac:dyDescent="0.25">
      <c r="A50" s="72" t="s">
        <v>183</v>
      </c>
      <c r="B50" s="72" t="s">
        <v>100</v>
      </c>
      <c r="C50" s="72" t="s">
        <v>101</v>
      </c>
      <c r="D50" s="73" t="s">
        <v>582</v>
      </c>
      <c r="E50" s="73" t="s">
        <v>582</v>
      </c>
      <c r="F50" s="72" t="s">
        <v>583</v>
      </c>
      <c r="G50" s="73" t="s">
        <v>577</v>
      </c>
      <c r="H50" s="77" t="s">
        <v>98</v>
      </c>
      <c r="I50" s="83" t="str">
        <f>IF($A50="","",IF(UPPER($H50)&lt;&gt;"TRUE","",IF($C50="import_local",IF($E50&lt;&gt;"",$E50,""),IF($C50="external_url",$D50,IF(IF($D50&lt;&gt;"",$D50,$E50)&lt;&gt;"",IF($D50&lt;&gt;"",$D50,$E50),"")))))</f>
        <v>/assets/projects/datacraft/02-Visual-authoring.webp</v>
      </c>
      <c r="J50" s="24" t="str">
        <f>IF($A50="","",IF(UPPER($H50)&lt;&gt;"TRUE","Disabled",HYPERLINK("http://127.0.0.1:5173/__dev/asset-source"&amp;"?assetId="&amp;ENCODEURL($A50)&amp;"&amp;sig="&amp;ENCODEURL($B50&amp;"|"&amp;$C50&amp;"|"&amp;$D50&amp;"|"&amp;$E50&amp;"|"&amp;$H50),"Open source")))</f>
        <v>Open source</v>
      </c>
      <c r="K50" s="24" t="str">
        <f>IF($A50="","",IF(OR(UPPER($H50)&lt;&gt;"TRUE",$I50=""),"Unavailable",HYPERLINK("http://127.0.0.1:5173/__dev/asset-resolved"&amp;"?assetId="&amp;ENCODEURL($A50)&amp;"&amp;sig="&amp;ENCODEURL($B50&amp;"|"&amp;$C50&amp;"|"&amp;$D50&amp;"|"&amp;$E50&amp;"|"&amp;$H50),"Open resolved")))</f>
        <v>Open resolved</v>
      </c>
      <c r="L50" s="84" t="s">
        <v>584</v>
      </c>
      <c r="M50" s="24" t="str">
        <f>IF($A50="","",HYPERLINK("#'ASSET_PREVIEW'!A50","Open preview"))</f>
        <v>Open preview</v>
      </c>
      <c r="N50" s="85" t="str">
        <f>IF($A50="","",IF(UPPER($H50)&lt;&gt;"TRUE","DISABLED",IF($C50="external_url",IF(OR(LEFT(LOWER($D50),7)="http://",LEFT(LOWER($D50),8)="https://"),"READY -&gt; "&amp;$I50,"NEEDS HTTP URL"),IF($C50="import_local",IF($D50="","NEEDS SOURCE FILE",IF($E50="","NEEDS TARGET PATH","READY -&gt; "&amp;$I50)),IF($C50="existing_public",IF(IF($D50&lt;&gt;"",$D50,$E50)&lt;&gt;"","READY -&gt; "&amp;$I50,"NEEDS PUBLIC PATH"),"CHECK MODE")))))</f>
        <v>READY -&gt; /assets/projects/datacraft/02-Visual-authoring.webp</v>
      </c>
    </row>
    <row r="51" ht="50" customHeight="1" spans="1:14" x14ac:dyDescent="0.25">
      <c r="A51" s="68" t="s">
        <v>184</v>
      </c>
      <c r="B51" s="68" t="s">
        <v>100</v>
      </c>
      <c r="C51" s="68" t="s">
        <v>101</v>
      </c>
      <c r="D51" s="69" t="s">
        <v>585</v>
      </c>
      <c r="E51" s="69" t="s">
        <v>585</v>
      </c>
      <c r="F51" s="68" t="s">
        <v>586</v>
      </c>
      <c r="G51" s="69" t="s">
        <v>577</v>
      </c>
      <c r="H51" s="76" t="s">
        <v>98</v>
      </c>
      <c r="I51" s="83" t="str">
        <f>IF($A51="","",IF(UPPER($H51)&lt;&gt;"TRUE","",IF($C51="import_local",IF($E51&lt;&gt;"",$E51,""),IF($C51="external_url",$D51,IF(IF($D51&lt;&gt;"",$D51,$E51)&lt;&gt;"",IF($D51&lt;&gt;"",$D51,$E51),"")))))</f>
        <v>/assets/projects/datacraft/03-Templates-instances.webp</v>
      </c>
      <c r="J51" s="24" t="str">
        <f>IF($A51="","",IF(UPPER($H51)&lt;&gt;"TRUE","Disabled",HYPERLINK("http://127.0.0.1:5173/__dev/asset-source"&amp;"?assetId="&amp;ENCODEURL($A51)&amp;"&amp;sig="&amp;ENCODEURL($B51&amp;"|"&amp;$C51&amp;"|"&amp;$D51&amp;"|"&amp;$E51&amp;"|"&amp;$H51),"Open source")))</f>
        <v>Open source</v>
      </c>
      <c r="K51" s="24" t="str">
        <f>IF($A51="","",IF(OR(UPPER($H51)&lt;&gt;"TRUE",$I51=""),"Unavailable",HYPERLINK("http://127.0.0.1:5173/__dev/asset-resolved"&amp;"?assetId="&amp;ENCODEURL($A51)&amp;"&amp;sig="&amp;ENCODEURL($B51&amp;"|"&amp;$C51&amp;"|"&amp;$D51&amp;"|"&amp;$E51&amp;"|"&amp;$H51),"Open resolved")))</f>
        <v>Open resolved</v>
      </c>
      <c r="L51" s="84" t="s">
        <v>584</v>
      </c>
      <c r="M51" s="24" t="str">
        <f>IF($A51="","",HYPERLINK("#'ASSET_PREVIEW'!A51","Open preview"))</f>
        <v>Open preview</v>
      </c>
      <c r="N51" s="85" t="str">
        <f>IF($A51="","",IF(UPPER($H51)&lt;&gt;"TRUE","DISABLED",IF($C51="external_url",IF(OR(LEFT(LOWER($D51),7)="http://",LEFT(LOWER($D51),8)="https://"),"READY -&gt; "&amp;$I51,"NEEDS HTTP URL"),IF($C51="import_local",IF($D51="","NEEDS SOURCE FILE",IF($E51="","NEEDS TARGET PATH","READY -&gt; "&amp;$I51)),IF($C51="existing_public",IF(IF($D51&lt;&gt;"",$D51,$E51)&lt;&gt;"","READY -&gt; "&amp;$I51,"NEEDS PUBLIC PATH"),"CHECK MODE")))))</f>
        <v>READY -&gt; /assets/projects/datacraft/03-Templates-instances.webp</v>
      </c>
    </row>
    <row r="52" ht="50" customHeight="1" spans="1:14" x14ac:dyDescent="0.25">
      <c r="A52" s="72" t="s">
        <v>185</v>
      </c>
      <c r="B52" s="72" t="s">
        <v>100</v>
      </c>
      <c r="C52" s="72" t="s">
        <v>101</v>
      </c>
      <c r="D52" s="73" t="s">
        <v>587</v>
      </c>
      <c r="E52" s="73" t="s">
        <v>587</v>
      </c>
      <c r="F52" s="72" t="s">
        <v>588</v>
      </c>
      <c r="G52" s="73" t="s">
        <v>577</v>
      </c>
      <c r="H52" s="77" t="s">
        <v>98</v>
      </c>
      <c r="I52" s="83" t="str">
        <f>IF($A52="","",IF(UPPER($H52)&lt;&gt;"TRUE","",IF($C52="import_local",IF($E52&lt;&gt;"",$E52,""),IF($C52="external_url",$D52,IF(IF($D52&lt;&gt;"",$D52,$E52)&lt;&gt;"",IF($D52&lt;&gt;"",$D52,$E52),"")))))</f>
        <v>/assets/projects/datacraft/04-Template-references.webp</v>
      </c>
      <c r="J52" s="24" t="str">
        <f>IF($A52="","",IF(UPPER($H52)&lt;&gt;"TRUE","Disabled",HYPERLINK("http://127.0.0.1:5173/__dev/asset-source"&amp;"?assetId="&amp;ENCODEURL($A52)&amp;"&amp;sig="&amp;ENCODEURL($B52&amp;"|"&amp;$C52&amp;"|"&amp;$D52&amp;"|"&amp;$E52&amp;"|"&amp;$H52),"Open source")))</f>
        <v>Open source</v>
      </c>
      <c r="K52" s="24" t="str">
        <f>IF($A52="","",IF(OR(UPPER($H52)&lt;&gt;"TRUE",$I52=""),"Unavailable",HYPERLINK("http://127.0.0.1:5173/__dev/asset-resolved"&amp;"?assetId="&amp;ENCODEURL($A52)&amp;"&amp;sig="&amp;ENCODEURL($B52&amp;"|"&amp;$C52&amp;"|"&amp;$D52&amp;"|"&amp;$E52&amp;"|"&amp;$H52),"Open resolved")))</f>
        <v>Open resolved</v>
      </c>
      <c r="L52" s="84" t="s">
        <v>584</v>
      </c>
      <c r="M52" s="24" t="str">
        <f>IF($A52="","",HYPERLINK("#'ASSET_PREVIEW'!A52","Open preview"))</f>
        <v>Open preview</v>
      </c>
      <c r="N52" s="85" t="str">
        <f>IF($A52="","",IF(UPPER($H52)&lt;&gt;"TRUE","DISABLED",IF($C52="external_url",IF(OR(LEFT(LOWER($D52),7)="http://",LEFT(LOWER($D52),8)="https://"),"READY -&gt; "&amp;$I52,"NEEDS HTTP URL"),IF($C52="import_local",IF($D52="","NEEDS SOURCE FILE",IF($E52="","NEEDS TARGET PATH","READY -&gt; "&amp;$I52)),IF($C52="existing_public",IF(IF($D52&lt;&gt;"",$D52,$E52)&lt;&gt;"","READY -&gt; "&amp;$I52,"NEEDS PUBLIC PATH"),"CHECK MODE")))))</f>
        <v>READY -&gt; /assets/projects/datacraft/04-Template-references.webp</v>
      </c>
    </row>
    <row r="53" ht="50" customHeight="1" spans="1:14" x14ac:dyDescent="0.25">
      <c r="A53" s="68" t="s">
        <v>186</v>
      </c>
      <c r="B53" s="68" t="s">
        <v>100</v>
      </c>
      <c r="C53" s="68" t="s">
        <v>101</v>
      </c>
      <c r="D53" s="69" t="s">
        <v>589</v>
      </c>
      <c r="E53" s="69" t="s">
        <v>589</v>
      </c>
      <c r="F53" s="68" t="s">
        <v>590</v>
      </c>
      <c r="G53" s="69" t="s">
        <v>577</v>
      </c>
      <c r="H53" s="76" t="s">
        <v>98</v>
      </c>
      <c r="I53" s="83" t="str">
        <f>IF($A53="","",IF(UPPER($H53)&lt;&gt;"TRUE","",IF($C53="import_local",IF($E53&lt;&gt;"",$E53,""),IF($C53="external_url",$D53,IF(IF($D53&lt;&gt;"",$D53,$E53)&lt;&gt;"",IF($D53&lt;&gt;"",$D53,$E53),"")))))</f>
        <v>/assets/projects/datacraft/05-Unity-integration.webp</v>
      </c>
      <c r="J53" s="24" t="str">
        <f>IF($A53="","",IF(UPPER($H53)&lt;&gt;"TRUE","Disabled",HYPERLINK("http://127.0.0.1:5173/__dev/asset-source"&amp;"?assetId="&amp;ENCODEURL($A53)&amp;"&amp;sig="&amp;ENCODEURL($B53&amp;"|"&amp;$C53&amp;"|"&amp;$D53&amp;"|"&amp;$E53&amp;"|"&amp;$H53),"Open source")))</f>
        <v>Open source</v>
      </c>
      <c r="K53" s="24" t="str">
        <f>IF($A53="","",IF(OR(UPPER($H53)&lt;&gt;"TRUE",$I53=""),"Unavailable",HYPERLINK("http://127.0.0.1:5173/__dev/asset-resolved"&amp;"?assetId="&amp;ENCODEURL($A53)&amp;"&amp;sig="&amp;ENCODEURL($B53&amp;"|"&amp;$C53&amp;"|"&amp;$D53&amp;"|"&amp;$E53&amp;"|"&amp;$H53),"Open resolved")))</f>
        <v>Open resolved</v>
      </c>
      <c r="L53" s="84" t="s">
        <v>584</v>
      </c>
      <c r="M53" s="24" t="str">
        <f>IF($A53="","",HYPERLINK("#'ASSET_PREVIEW'!A53","Open preview"))</f>
        <v>Open preview</v>
      </c>
      <c r="N53" s="85" t="str">
        <f>IF($A53="","",IF(UPPER($H53)&lt;&gt;"TRUE","DISABLED",IF($C53="external_url",IF(OR(LEFT(LOWER($D53),7)="http://",LEFT(LOWER($D53),8)="https://"),"READY -&gt; "&amp;$I53,"NEEDS HTTP URL"),IF($C53="import_local",IF($D53="","NEEDS SOURCE FILE",IF($E53="","NEEDS TARGET PATH","READY -&gt; "&amp;$I53)),IF($C53="existing_public",IF(IF($D53&lt;&gt;"",$D53,$E53)&lt;&gt;"","READY -&gt; "&amp;$I53,"NEEDS PUBLIC PATH"),"CHECK MODE")))))</f>
        <v>READY -&gt; /assets/projects/datacraft/05-Unity-integration.webp</v>
      </c>
    </row>
    <row r="54" ht="50" customHeight="1" spans="1:14" x14ac:dyDescent="0.25">
      <c r="A54" s="72" t="s">
        <v>187</v>
      </c>
      <c r="B54" s="72" t="s">
        <v>100</v>
      </c>
      <c r="C54" s="72" t="s">
        <v>101</v>
      </c>
      <c r="D54" s="73" t="s">
        <v>591</v>
      </c>
      <c r="E54" s="73" t="s">
        <v>591</v>
      </c>
      <c r="F54" s="72" t="s">
        <v>592</v>
      </c>
      <c r="G54" s="73" t="s">
        <v>577</v>
      </c>
      <c r="H54" s="77" t="s">
        <v>98</v>
      </c>
      <c r="I54" s="83" t="str">
        <f>IF($A54="","",IF(UPPER($H54)&lt;&gt;"TRUE","",IF($C54="import_local",IF($E54&lt;&gt;"",$E54,""),IF($C54="external_url",$D54,IF(IF($D54&lt;&gt;"",$D54,$E54)&lt;&gt;"",IF($D54&lt;&gt;"",$D54,$E54),"")))))</f>
        <v>/assets/projects/datacraft/06-API-workflow.webp</v>
      </c>
      <c r="J54" s="24" t="str">
        <f>IF($A54="","",IF(UPPER($H54)&lt;&gt;"TRUE","Disabled",HYPERLINK("http://127.0.0.1:5173/__dev/asset-source"&amp;"?assetId="&amp;ENCODEURL($A54)&amp;"&amp;sig="&amp;ENCODEURL($B54&amp;"|"&amp;$C54&amp;"|"&amp;$D54&amp;"|"&amp;$E54&amp;"|"&amp;$H54),"Open source")))</f>
        <v>Open source</v>
      </c>
      <c r="K54" s="24" t="str">
        <f>IF($A54="","",IF(OR(UPPER($H54)&lt;&gt;"TRUE",$I54=""),"Unavailable",HYPERLINK("http://127.0.0.1:5173/__dev/asset-resolved"&amp;"?assetId="&amp;ENCODEURL($A54)&amp;"&amp;sig="&amp;ENCODEURL($B54&amp;"|"&amp;$C54&amp;"|"&amp;$D54&amp;"|"&amp;$E54&amp;"|"&amp;$H54),"Open resolved")))</f>
        <v>Open resolved</v>
      </c>
      <c r="L54" s="84" t="s">
        <v>584</v>
      </c>
      <c r="M54" s="24" t="str">
        <f>IF($A54="","",HYPERLINK("#'ASSET_PREVIEW'!A54","Open preview"))</f>
        <v>Open preview</v>
      </c>
      <c r="N54" s="85" t="str">
        <f>IF($A54="","",IF(UPPER($H54)&lt;&gt;"TRUE","DISABLED",IF($C54="external_url",IF(OR(LEFT(LOWER($D54),7)="http://",LEFT(LOWER($D54),8)="https://"),"READY -&gt; "&amp;$I54,"NEEDS HTTP URL"),IF($C54="import_local",IF($D54="","NEEDS SOURCE FILE",IF($E54="","NEEDS TARGET PATH","READY -&gt; "&amp;$I54)),IF($C54="existing_public",IF(IF($D54&lt;&gt;"",$D54,$E54)&lt;&gt;"","READY -&gt; "&amp;$I54,"NEEDS PUBLIC PATH"),"CHECK MODE")))))</f>
        <v>READY -&gt; /assets/projects/datacraft/06-API-workflow.webp</v>
      </c>
    </row>
    <row r="55" ht="50" customHeight="1" spans="1:14" x14ac:dyDescent="0.25">
      <c r="A55" s="68" t="s">
        <v>188</v>
      </c>
      <c r="B55" s="68" t="s">
        <v>100</v>
      </c>
      <c r="C55" s="68" t="s">
        <v>101</v>
      </c>
      <c r="D55" s="69" t="s">
        <v>593</v>
      </c>
      <c r="E55" s="69" t="s">
        <v>593</v>
      </c>
      <c r="F55" s="68" t="s">
        <v>594</v>
      </c>
      <c r="G55" s="69" t="s">
        <v>577</v>
      </c>
      <c r="H55" s="76" t="s">
        <v>98</v>
      </c>
      <c r="I55" s="83" t="str">
        <f>IF($A55="","",IF(UPPER($H55)&lt;&gt;"TRUE","",IF($C55="import_local",IF($E55&lt;&gt;"",$E55,""),IF($C55="external_url",$D55,IF(IF($D55&lt;&gt;"",$D55,$E55)&lt;&gt;"",IF($D55&lt;&gt;"",$D55,$E55),"")))))</f>
        <v>/assets/projects/datacraft/07-Client-to-gameplay.webp</v>
      </c>
      <c r="J55" s="24" t="str">
        <f>IF($A55="","",IF(UPPER($H55)&lt;&gt;"TRUE","Disabled",HYPERLINK("http://127.0.0.1:5173/__dev/asset-source"&amp;"?assetId="&amp;ENCODEURL($A55)&amp;"&amp;sig="&amp;ENCODEURL($B55&amp;"|"&amp;$C55&amp;"|"&amp;$D55&amp;"|"&amp;$E55&amp;"|"&amp;$H55),"Open source")))</f>
        <v>Open source</v>
      </c>
      <c r="K55" s="24" t="str">
        <f>IF($A55="","",IF(OR(UPPER($H55)&lt;&gt;"TRUE",$I55=""),"Unavailable",HYPERLINK("http://127.0.0.1:5173/__dev/asset-resolved"&amp;"?assetId="&amp;ENCODEURL($A55)&amp;"&amp;sig="&amp;ENCODEURL($B55&amp;"|"&amp;$C55&amp;"|"&amp;$D55&amp;"|"&amp;$E55&amp;"|"&amp;$H55),"Open resolved")))</f>
        <v>Open resolved</v>
      </c>
      <c r="L55" s="84" t="s">
        <v>584</v>
      </c>
      <c r="M55" s="24" t="str">
        <f>IF($A55="","",HYPERLINK("#'ASSET_PREVIEW'!A55","Open preview"))</f>
        <v>Open preview</v>
      </c>
      <c r="N55" s="85" t="str">
        <f>IF($A55="","",IF(UPPER($H55)&lt;&gt;"TRUE","DISABLED",IF($C55="external_url",IF(OR(LEFT(LOWER($D55),7)="http://",LEFT(LOWER($D55),8)="https://"),"READY -&gt; "&amp;$I55,"NEEDS HTTP URL"),IF($C55="import_local",IF($D55="","NEEDS SOURCE FILE",IF($E55="","NEEDS TARGET PATH","READY -&gt; "&amp;$I55)),IF($C55="existing_public",IF(IF($D55&lt;&gt;"",$D55,$E55)&lt;&gt;"","READY -&gt; "&amp;$I55,"NEEDS PUBLIC PATH"),"CHECK MODE")))))</f>
        <v>READY -&gt; /assets/projects/datacraft/07-Client-to-gameplay.webp</v>
      </c>
    </row>
    <row r="56" ht="50" customHeight="1" spans="1:14" x14ac:dyDescent="0.25">
      <c r="A56" s="72" t="s">
        <v>189</v>
      </c>
      <c r="B56" s="72" t="s">
        <v>100</v>
      </c>
      <c r="C56" s="72" t="s">
        <v>101</v>
      </c>
      <c r="D56" s="73" t="s">
        <v>595</v>
      </c>
      <c r="E56" s="73" t="s">
        <v>595</v>
      </c>
      <c r="F56" s="72" t="s">
        <v>596</v>
      </c>
      <c r="G56" s="73" t="s">
        <v>577</v>
      </c>
      <c r="H56" s="77" t="s">
        <v>98</v>
      </c>
      <c r="I56" s="83" t="str">
        <f>IF($A56="","",IF(UPPER($H56)&lt;&gt;"TRUE","",IF($C56="import_local",IF($E56&lt;&gt;"",$E56,""),IF($C56="external_url",$D56,IF(IF($D56&lt;&gt;"",$D56,$E56)&lt;&gt;"",IF($D56&lt;&gt;"",$D56,$E56),"")))))</f>
        <v>/assets/projects/datacraft/08-Save-progress.webp</v>
      </c>
      <c r="J56" s="24" t="str">
        <f>IF($A56="","",IF(UPPER($H56)&lt;&gt;"TRUE","Disabled",HYPERLINK("http://127.0.0.1:5173/__dev/asset-source"&amp;"?assetId="&amp;ENCODEURL($A56)&amp;"&amp;sig="&amp;ENCODEURL($B56&amp;"|"&amp;$C56&amp;"|"&amp;$D56&amp;"|"&amp;$E56&amp;"|"&amp;$H56),"Open source")))</f>
        <v>Open source</v>
      </c>
      <c r="K56" s="24" t="str">
        <f>IF($A56="","",IF(OR(UPPER($H56)&lt;&gt;"TRUE",$I56=""),"Unavailable",HYPERLINK("http://127.0.0.1:5173/__dev/asset-resolved"&amp;"?assetId="&amp;ENCODEURL($A56)&amp;"&amp;sig="&amp;ENCODEURL($B56&amp;"|"&amp;$C56&amp;"|"&amp;$D56&amp;"|"&amp;$E56&amp;"|"&amp;$H56),"Open resolved")))</f>
        <v>Open resolved</v>
      </c>
      <c r="L56" s="84" t="s">
        <v>584</v>
      </c>
      <c r="M56" s="24" t="str">
        <f>IF($A56="","",HYPERLINK("#'ASSET_PREVIEW'!A56","Open preview"))</f>
        <v>Open preview</v>
      </c>
      <c r="N56" s="85" t="str">
        <f>IF($A56="","",IF(UPPER($H56)&lt;&gt;"TRUE","DISABLED",IF($C56="external_url",IF(OR(LEFT(LOWER($D56),7)="http://",LEFT(LOWER($D56),8)="https://"),"READY -&gt; "&amp;$I56,"NEEDS HTTP URL"),IF($C56="import_local",IF($D56="","NEEDS SOURCE FILE",IF($E56="","NEEDS TARGET PATH","READY -&gt; "&amp;$I56)),IF($C56="existing_public",IF(IF($D56&lt;&gt;"",$D56,$E56)&lt;&gt;"","READY -&gt; "&amp;$I56,"NEEDS PUBLIC PATH"),"CHECK MODE")))))</f>
        <v>READY -&gt; /assets/projects/datacraft/08-Save-progress.webp</v>
      </c>
    </row>
    <row r="57" ht="50" customHeight="1" spans="1:14" x14ac:dyDescent="0.25">
      <c r="A57" s="68" t="s">
        <v>190</v>
      </c>
      <c r="B57" s="68" t="s">
        <v>100</v>
      </c>
      <c r="C57" s="68" t="s">
        <v>101</v>
      </c>
      <c r="D57" s="69" t="s">
        <v>597</v>
      </c>
      <c r="E57" s="69" t="s">
        <v>597</v>
      </c>
      <c r="F57" s="68" t="s">
        <v>598</v>
      </c>
      <c r="G57" s="69" t="s">
        <v>577</v>
      </c>
      <c r="H57" s="76" t="s">
        <v>98</v>
      </c>
      <c r="I57" s="83" t="str">
        <f>IF($A57="","",IF(UPPER($H57)&lt;&gt;"TRUE","",IF($C57="import_local",IF($E57&lt;&gt;"",$E57,""),IF($C57="external_url",$D57,IF(IF($D57&lt;&gt;"",$D57,$E57)&lt;&gt;"",IF($D57&lt;&gt;"",$D57,$E57),"")))))</f>
        <v>/assets/projects/datacraft/09-Flexible-workspace.webp</v>
      </c>
      <c r="J57" s="24" t="str">
        <f>IF($A57="","",IF(UPPER($H57)&lt;&gt;"TRUE","Disabled",HYPERLINK("http://127.0.0.1:5173/__dev/asset-source"&amp;"?assetId="&amp;ENCODEURL($A57)&amp;"&amp;sig="&amp;ENCODEURL($B57&amp;"|"&amp;$C57&amp;"|"&amp;$D57&amp;"|"&amp;$E57&amp;"|"&amp;$H57),"Open source")))</f>
        <v>Open source</v>
      </c>
      <c r="K57" s="24" t="str">
        <f>IF($A57="","",IF(OR(UPPER($H57)&lt;&gt;"TRUE",$I57=""),"Unavailable",HYPERLINK("http://127.0.0.1:5173/__dev/asset-resolved"&amp;"?assetId="&amp;ENCODEURL($A57)&amp;"&amp;sig="&amp;ENCODEURL($B57&amp;"|"&amp;$C57&amp;"|"&amp;$D57&amp;"|"&amp;$E57&amp;"|"&amp;$H57),"Open resolved")))</f>
        <v>Open resolved</v>
      </c>
      <c r="L57" s="84" t="s">
        <v>584</v>
      </c>
      <c r="M57" s="24" t="str">
        <f>IF($A57="","",HYPERLINK("#'ASSET_PREVIEW'!A57","Open preview"))</f>
        <v>Open preview</v>
      </c>
      <c r="N57" s="85" t="str">
        <f>IF($A57="","",IF(UPPER($H57)&lt;&gt;"TRUE","DISABLED",IF($C57="external_url",IF(OR(LEFT(LOWER($D57),7)="http://",LEFT(LOWER($D57),8)="https://"),"READY -&gt; "&amp;$I57,"NEEDS HTTP URL"),IF($C57="import_local",IF($D57="","NEEDS SOURCE FILE",IF($E57="","NEEDS TARGET PATH","READY -&gt; "&amp;$I57)),IF($C57="existing_public",IF(IF($D57&lt;&gt;"",$D57,$E57)&lt;&gt;"","READY -&gt; "&amp;$I57,"NEEDS PUBLIC PATH"),"CHECK MODE")))))</f>
        <v>READY -&gt; /assets/projects/datacraft/09-Flexible-workspace.webp</v>
      </c>
    </row>
    <row r="58" ht="50" customHeight="1" spans="1:14" x14ac:dyDescent="0.25">
      <c r="A58" s="72" t="s">
        <v>191</v>
      </c>
      <c r="B58" s="72" t="s">
        <v>102</v>
      </c>
      <c r="C58" s="72" t="s">
        <v>101</v>
      </c>
      <c r="D58" s="73" t="s">
        <v>599</v>
      </c>
      <c r="E58" s="73" t="s">
        <v>599</v>
      </c>
      <c r="F58" s="72" t="s">
        <v>600</v>
      </c>
      <c r="G58" s="73" t="s">
        <v>601</v>
      </c>
      <c r="H58" s="77" t="s">
        <v>98</v>
      </c>
      <c r="I58" s="83" t="str">
        <f>IF($A58="","",IF(UPPER($H58)&lt;&gt;"TRUE","",IF($C58="import_local",IF($E58&lt;&gt;"",$E58,""),IF($C58="external_url",$D58,IF(IF($D58&lt;&gt;"",$D58,$E58)&lt;&gt;"",IF($D58&lt;&gt;"",$D58,$E58),"")))))</f>
        <v>/assets/projects/datacraft-demo.mp4</v>
      </c>
      <c r="J58" s="24" t="str">
        <f>IF($A58="","",IF(UPPER($H58)&lt;&gt;"TRUE","Disabled",HYPERLINK("http://127.0.0.1:5173/__dev/asset-source"&amp;"?assetId="&amp;ENCODEURL($A58)&amp;"&amp;sig="&amp;ENCODEURL($B58&amp;"|"&amp;$C58&amp;"|"&amp;$D58&amp;"|"&amp;$E58&amp;"|"&amp;$H58),"Open source")))</f>
        <v>Open source</v>
      </c>
      <c r="K58" s="24" t="str">
        <f>IF($A58="","",IF(OR(UPPER($H58)&lt;&gt;"TRUE",$I58=""),"Unavailable",HYPERLINK("http://127.0.0.1:5173/__dev/asset-resolved"&amp;"?assetId="&amp;ENCODEURL($A58)&amp;"&amp;sig="&amp;ENCODEURL($B58&amp;"|"&amp;$C58&amp;"|"&amp;$D58&amp;"|"&amp;$E58&amp;"|"&amp;$H58),"Open resolved")))</f>
        <v>Open resolved</v>
      </c>
      <c r="L58" s="84" t="s">
        <v>602</v>
      </c>
      <c r="M58" s="24" t="str">
        <f>IF($A58="","",HYPERLINK("#'ASSET_PREVIEW'!A58","Open preview"))</f>
        <v>Open preview</v>
      </c>
      <c r="N58" s="85" t="str">
        <f>IF($A58="","",IF(UPPER($H58)&lt;&gt;"TRUE","DISABLED",IF($C58="external_url",IF(OR(LEFT(LOWER($D58),7)="http://",LEFT(LOWER($D58),8)="https://"),"READY -&gt; "&amp;$I58,"NEEDS HTTP URL"),IF($C58="import_local",IF($D58="","NEEDS SOURCE FILE",IF($E58="","NEEDS TARGET PATH","READY -&gt; "&amp;$I58)),IF($C58="existing_public",IF(IF($D58&lt;&gt;"",$D58,$E58)&lt;&gt;"","READY -&gt; "&amp;$I58,"NEEDS PUBLIC PATH"),"CHECK MODE")))))</f>
        <v>READY -&gt; /assets/projects/datacraft-demo.mp4</v>
      </c>
    </row>
    <row r="59" spans="1:14" x14ac:dyDescent="0.25">
      <c r="A59" s="68"/>
      <c r="B59" s="68"/>
      <c r="C59" s="68"/>
      <c r="D59" s="69"/>
      <c r="E59" s="69"/>
      <c r="F59" s="68"/>
      <c r="G59" s="69"/>
      <c r="H59" s="76"/>
      <c r="I59" s="83" t="str">
        <f>IF($A59="","",IF(UPPER($H59)&lt;&gt;"TRUE","",IF($C59="import_local",IF($E59&lt;&gt;"",$E59,""),IF($C59="external_url",$D59,IF(IF($D59&lt;&gt;"",$D59,$E59)&lt;&gt;"",IF($D59&lt;&gt;"",$D59,$E59),"")))))</f>
        <v/>
      </c>
      <c r="J59" s="24" t="str">
        <f>IF($A59="","",IF(UPPER($H59)&lt;&gt;"TRUE","Disabled",HYPERLINK("http://127.0.0.1:5173/__dev/asset-source"&amp;"?assetId="&amp;ENCODEURL($A59)&amp;"&amp;sig="&amp;ENCODEURL($B59&amp;"|"&amp;$C59&amp;"|"&amp;$D59&amp;"|"&amp;$E59&amp;"|"&amp;$H59),"Open source")))</f>
        <v/>
      </c>
      <c r="K59" s="24" t="str">
        <f>IF($A59="","",IF(OR(UPPER($H59)&lt;&gt;"TRUE",$I59=""),"Unavailable",HYPERLINK("http://127.0.0.1:5173/__dev/asset-resolved"&amp;"?assetId="&amp;ENCODEURL($A59)&amp;"&amp;sig="&amp;ENCODEURL($B59&amp;"|"&amp;$C59&amp;"|"&amp;$D59&amp;"|"&amp;$E59&amp;"|"&amp;$H59),"Open resolved")))</f>
        <v/>
      </c>
      <c r="L59" s="87"/>
      <c r="M59" s="24" t="str">
        <f>IF($A59="","",HYPERLINK("#'ASSET_PREVIEW'!A59","Open preview"))</f>
        <v/>
      </c>
      <c r="N59" s="85" t="str">
        <f>IF($A59="","",IF(UPPER($H59)&lt;&gt;"TRUE","DISABLED",IF($C59="external_url",IF(OR(LEFT(LOWER($D59),7)="http://",LEFT(LOWER($D59),8)="https://"),"READY -&gt; "&amp;$I59,"NEEDS HTTP URL"),IF($C59="import_local",IF($D59="","NEEDS SOURCE FILE",IF($E59="","NEEDS TARGET PATH","READY -&gt; "&amp;$I59)),IF($C59="existing_public",IF(IF($D59&lt;&gt;"",$D59,$E59)&lt;&gt;"","READY -&gt; "&amp;$I59,"NEEDS PUBLIC PATH"),"CHECK MODE")))))</f>
        <v/>
      </c>
    </row>
    <row r="60" spans="1:14" x14ac:dyDescent="0.25">
      <c r="A60" s="72"/>
      <c r="B60" s="72"/>
      <c r="C60" s="72"/>
      <c r="D60" s="73"/>
      <c r="E60" s="73"/>
      <c r="F60" s="72"/>
      <c r="G60" s="73"/>
      <c r="H60" s="77"/>
      <c r="I60" s="83" t="str">
        <f>IF($A60="","",IF(UPPER($H60)&lt;&gt;"TRUE","",IF($C60="import_local",IF($E60&lt;&gt;"",$E60,""),IF($C60="external_url",$D60,IF(IF($D60&lt;&gt;"",$D60,$E60)&lt;&gt;"",IF($D60&lt;&gt;"",$D60,$E60),"")))))</f>
        <v/>
      </c>
      <c r="J60" s="24" t="str">
        <f>IF($A60="","",IF(UPPER($H60)&lt;&gt;"TRUE","Disabled",HYPERLINK("http://127.0.0.1:5173/__dev/asset-source"&amp;"?assetId="&amp;ENCODEURL($A60)&amp;"&amp;sig="&amp;ENCODEURL($B60&amp;"|"&amp;$C60&amp;"|"&amp;$D60&amp;"|"&amp;$E60&amp;"|"&amp;$H60),"Open source")))</f>
        <v/>
      </c>
      <c r="K60" s="24" t="str">
        <f>IF($A60="","",IF(OR(UPPER($H60)&lt;&gt;"TRUE",$I60=""),"Unavailable",HYPERLINK("http://127.0.0.1:5173/__dev/asset-resolved"&amp;"?assetId="&amp;ENCODEURL($A60)&amp;"&amp;sig="&amp;ENCODEURL($B60&amp;"|"&amp;$C60&amp;"|"&amp;$D60&amp;"|"&amp;$E60&amp;"|"&amp;$H60),"Open resolved")))</f>
        <v/>
      </c>
      <c r="L60" s="87"/>
      <c r="M60" s="24" t="str">
        <f>IF($A60="","",HYPERLINK("#'ASSET_PREVIEW'!A60","Open preview"))</f>
        <v/>
      </c>
      <c r="N60" s="85" t="str">
        <f>IF($A60="","",IF(UPPER($H60)&lt;&gt;"TRUE","DISABLED",IF($C60="external_url",IF(OR(LEFT(LOWER($D60),7)="http://",LEFT(LOWER($D60),8)="https://"),"READY -&gt; "&amp;$I60,"NEEDS HTTP URL"),IF($C60="import_local",IF($D60="","NEEDS SOURCE FILE",IF($E60="","NEEDS TARGET PATH","READY -&gt; "&amp;$I60)),IF($C60="existing_public",IF(IF($D60&lt;&gt;"",$D60,$E60)&lt;&gt;"","READY -&gt; "&amp;$I60,"NEEDS PUBLIC PATH"),"CHECK MODE")))))</f>
        <v/>
      </c>
    </row>
    <row r="61" spans="1:14" x14ac:dyDescent="0.25">
      <c r="A61" s="68"/>
      <c r="B61" s="68"/>
      <c r="C61" s="68"/>
      <c r="D61" s="69"/>
      <c r="E61" s="69"/>
      <c r="F61" s="68"/>
      <c r="G61" s="69"/>
      <c r="H61" s="76"/>
      <c r="I61" s="83" t="str">
        <f>IF($A61="","",IF(UPPER($H61)&lt;&gt;"TRUE","",IF($C61="import_local",IF($E61&lt;&gt;"",$E61,""),IF($C61="external_url",$D61,IF(IF($D61&lt;&gt;"",$D61,$E61)&lt;&gt;"",IF($D61&lt;&gt;"",$D61,$E61),"")))))</f>
        <v/>
      </c>
      <c r="J61" s="24" t="str">
        <f>IF($A61="","",IF(UPPER($H61)&lt;&gt;"TRUE","Disabled",HYPERLINK("http://127.0.0.1:5173/__dev/asset-source"&amp;"?assetId="&amp;ENCODEURL($A61)&amp;"&amp;sig="&amp;ENCODEURL($B61&amp;"|"&amp;$C61&amp;"|"&amp;$D61&amp;"|"&amp;$E61&amp;"|"&amp;$H61),"Open source")))</f>
        <v/>
      </c>
      <c r="K61" s="24" t="str">
        <f>IF($A61="","",IF(OR(UPPER($H61)&lt;&gt;"TRUE",$I61=""),"Unavailable",HYPERLINK("http://127.0.0.1:5173/__dev/asset-resolved"&amp;"?assetId="&amp;ENCODEURL($A61)&amp;"&amp;sig="&amp;ENCODEURL($B61&amp;"|"&amp;$C61&amp;"|"&amp;$D61&amp;"|"&amp;$E61&amp;"|"&amp;$H61),"Open resolved")))</f>
        <v/>
      </c>
      <c r="L61" s="87"/>
      <c r="M61" s="24" t="str">
        <f>IF($A61="","",HYPERLINK("#'ASSET_PREVIEW'!A61","Open preview"))</f>
        <v/>
      </c>
      <c r="N61" s="85" t="str">
        <f>IF($A61="","",IF(UPPER($H61)&lt;&gt;"TRUE","DISABLED",IF($C61="external_url",IF(OR(LEFT(LOWER($D61),7)="http://",LEFT(LOWER($D61),8)="https://"),"READY -&gt; "&amp;$I61,"NEEDS HTTP URL"),IF($C61="import_local",IF($D61="","NEEDS SOURCE FILE",IF($E61="","NEEDS TARGET PATH","READY -&gt; "&amp;$I61)),IF($C61="existing_public",IF(IF($D61&lt;&gt;"",$D61,$E61)&lt;&gt;"","READY -&gt; "&amp;$I61,"NEEDS PUBLIC PATH"),"CHECK MODE")))))</f>
        <v/>
      </c>
    </row>
    <row r="62" spans="1:14" x14ac:dyDescent="0.25">
      <c r="A62" s="72"/>
      <c r="B62" s="72"/>
      <c r="C62" s="72"/>
      <c r="D62" s="73"/>
      <c r="E62" s="73"/>
      <c r="F62" s="72"/>
      <c r="G62" s="73"/>
      <c r="H62" s="77"/>
      <c r="I62" s="83" t="str">
        <f>IF($A62="","",IF(UPPER($H62)&lt;&gt;"TRUE","",IF($C62="import_local",IF($E62&lt;&gt;"",$E62,""),IF($C62="external_url",$D62,IF(IF($D62&lt;&gt;"",$D62,$E62)&lt;&gt;"",IF($D62&lt;&gt;"",$D62,$E62),"")))))</f>
        <v/>
      </c>
      <c r="J62" s="24" t="str">
        <f>IF($A62="","",IF(UPPER($H62)&lt;&gt;"TRUE","Disabled",HYPERLINK("http://127.0.0.1:5173/__dev/asset-source"&amp;"?assetId="&amp;ENCODEURL($A62)&amp;"&amp;sig="&amp;ENCODEURL($B62&amp;"|"&amp;$C62&amp;"|"&amp;$D62&amp;"|"&amp;$E62&amp;"|"&amp;$H62),"Open source")))</f>
        <v/>
      </c>
      <c r="K62" s="24" t="str">
        <f>IF($A62="","",IF(OR(UPPER($H62)&lt;&gt;"TRUE",$I62=""),"Unavailable",HYPERLINK("http://127.0.0.1:5173/__dev/asset-resolved"&amp;"?assetId="&amp;ENCODEURL($A62)&amp;"&amp;sig="&amp;ENCODEURL($B62&amp;"|"&amp;$C62&amp;"|"&amp;$D62&amp;"|"&amp;$E62&amp;"|"&amp;$H62),"Open resolved")))</f>
        <v/>
      </c>
      <c r="L62" s="87"/>
      <c r="M62" s="24" t="str">
        <f>IF($A62="","",HYPERLINK("#'ASSET_PREVIEW'!A62","Open preview"))</f>
        <v/>
      </c>
      <c r="N62" s="85" t="str">
        <f>IF($A62="","",IF(UPPER($H62)&lt;&gt;"TRUE","DISABLED",IF($C62="external_url",IF(OR(LEFT(LOWER($D62),7)="http://",LEFT(LOWER($D62),8)="https://"),"READY -&gt; "&amp;$I62,"NEEDS HTTP URL"),IF($C62="import_local",IF($D62="","NEEDS SOURCE FILE",IF($E62="","NEEDS TARGET PATH","READY -&gt; "&amp;$I62)),IF($C62="existing_public",IF(IF($D62&lt;&gt;"",$D62,$E62)&lt;&gt;"","READY -&gt; "&amp;$I62,"NEEDS PUBLIC PATH"),"CHECK MODE")))))</f>
        <v/>
      </c>
    </row>
    <row r="63" spans="1:14" x14ac:dyDescent="0.25">
      <c r="A63" s="68"/>
      <c r="B63" s="68"/>
      <c r="C63" s="68"/>
      <c r="D63" s="69"/>
      <c r="E63" s="69"/>
      <c r="F63" s="68"/>
      <c r="G63" s="69"/>
      <c r="H63" s="76"/>
      <c r="I63" s="83" t="str">
        <f>IF($A63="","",IF(UPPER($H63)&lt;&gt;"TRUE","",IF($C63="import_local",IF($E63&lt;&gt;"",$E63,""),IF($C63="external_url",$D63,IF(IF($D63&lt;&gt;"",$D63,$E63)&lt;&gt;"",IF($D63&lt;&gt;"",$D63,$E63),"")))))</f>
        <v/>
      </c>
      <c r="J63" s="24" t="str">
        <f>IF($A63="","",IF(UPPER($H63)&lt;&gt;"TRUE","Disabled",HYPERLINK("http://127.0.0.1:5173/__dev/asset-source"&amp;"?assetId="&amp;ENCODEURL($A63)&amp;"&amp;sig="&amp;ENCODEURL($B63&amp;"|"&amp;$C63&amp;"|"&amp;$D63&amp;"|"&amp;$E63&amp;"|"&amp;$H63),"Open source")))</f>
        <v/>
      </c>
      <c r="K63" s="24" t="str">
        <f>IF($A63="","",IF(OR(UPPER($H63)&lt;&gt;"TRUE",$I63=""),"Unavailable",HYPERLINK("http://127.0.0.1:5173/__dev/asset-resolved"&amp;"?assetId="&amp;ENCODEURL($A63)&amp;"&amp;sig="&amp;ENCODEURL($B63&amp;"|"&amp;$C63&amp;"|"&amp;$D63&amp;"|"&amp;$E63&amp;"|"&amp;$H63),"Open resolved")))</f>
        <v/>
      </c>
      <c r="L63" s="87"/>
      <c r="M63" s="24" t="str">
        <f>IF($A63="","",HYPERLINK("#'ASSET_PREVIEW'!A63","Open preview"))</f>
        <v/>
      </c>
      <c r="N63" s="85" t="str">
        <f>IF($A63="","",IF(UPPER($H63)&lt;&gt;"TRUE","DISABLED",IF($C63="external_url",IF(OR(LEFT(LOWER($D63),7)="http://",LEFT(LOWER($D63),8)="https://"),"READY -&gt; "&amp;$I63,"NEEDS HTTP URL"),IF($C63="import_local",IF($D63="","NEEDS SOURCE FILE",IF($E63="","NEEDS TARGET PATH","READY -&gt; "&amp;$I63)),IF($C63="existing_public",IF(IF($D63&lt;&gt;"",$D63,$E63)&lt;&gt;"","READY -&gt; "&amp;$I63,"NEEDS PUBLIC PATH"),"CHECK MODE")))))</f>
        <v/>
      </c>
    </row>
    <row r="64" spans="1:14" x14ac:dyDescent="0.25">
      <c r="A64" s="72"/>
      <c r="B64" s="72"/>
      <c r="C64" s="72"/>
      <c r="D64" s="73"/>
      <c r="E64" s="73"/>
      <c r="F64" s="72"/>
      <c r="G64" s="73"/>
      <c r="H64" s="77"/>
      <c r="I64" s="83" t="str">
        <f>IF($A64="","",IF(UPPER($H64)&lt;&gt;"TRUE","",IF($C64="import_local",IF($E64&lt;&gt;"",$E64,""),IF($C64="external_url",$D64,IF(IF($D64&lt;&gt;"",$D64,$E64)&lt;&gt;"",IF($D64&lt;&gt;"",$D64,$E64),"")))))</f>
        <v/>
      </c>
      <c r="J64" s="24" t="str">
        <f>IF($A64="","",IF(UPPER($H64)&lt;&gt;"TRUE","Disabled",HYPERLINK("http://127.0.0.1:5173/__dev/asset-source"&amp;"?assetId="&amp;ENCODEURL($A64)&amp;"&amp;sig="&amp;ENCODEURL($B64&amp;"|"&amp;$C64&amp;"|"&amp;$D64&amp;"|"&amp;$E64&amp;"|"&amp;$H64),"Open source")))</f>
        <v/>
      </c>
      <c r="K64" s="24" t="str">
        <f>IF($A64="","",IF(OR(UPPER($H64)&lt;&gt;"TRUE",$I64=""),"Unavailable",HYPERLINK("http://127.0.0.1:5173/__dev/asset-resolved"&amp;"?assetId="&amp;ENCODEURL($A64)&amp;"&amp;sig="&amp;ENCODEURL($B64&amp;"|"&amp;$C64&amp;"|"&amp;$D64&amp;"|"&amp;$E64&amp;"|"&amp;$H64),"Open resolved")))</f>
        <v/>
      </c>
      <c r="L64" s="87"/>
      <c r="M64" s="24" t="str">
        <f>IF($A64="","",HYPERLINK("#'ASSET_PREVIEW'!A64","Open preview"))</f>
        <v/>
      </c>
      <c r="N64" s="85" t="str">
        <f>IF($A64="","",IF(UPPER($H64)&lt;&gt;"TRUE","DISABLED",IF($C64="external_url",IF(OR(LEFT(LOWER($D64),7)="http://",LEFT(LOWER($D64),8)="https://"),"READY -&gt; "&amp;$I64,"NEEDS HTTP URL"),IF($C64="import_local",IF($D64="","NEEDS SOURCE FILE",IF($E64="","NEEDS TARGET PATH","READY -&gt; "&amp;$I64)),IF($C64="existing_public",IF(IF($D64&lt;&gt;"",$D64,$E64)&lt;&gt;"","READY -&gt; "&amp;$I64,"NEEDS PUBLIC PATH"),"CHECK MODE")))))</f>
        <v/>
      </c>
    </row>
    <row r="65" spans="1:14" x14ac:dyDescent="0.25">
      <c r="A65" s="68"/>
      <c r="B65" s="68"/>
      <c r="C65" s="68"/>
      <c r="D65" s="69"/>
      <c r="E65" s="69"/>
      <c r="F65" s="68"/>
      <c r="G65" s="69"/>
      <c r="H65" s="76"/>
      <c r="I65" s="83" t="str">
        <f>IF($A65="","",IF(UPPER($H65)&lt;&gt;"TRUE","",IF($C65="import_local",IF($E65&lt;&gt;"",$E65,""),IF($C65="external_url",$D65,IF(IF($D65&lt;&gt;"",$D65,$E65)&lt;&gt;"",IF($D65&lt;&gt;"",$D65,$E65),"")))))</f>
        <v/>
      </c>
      <c r="J65" s="24" t="str">
        <f>IF($A65="","",IF(UPPER($H65)&lt;&gt;"TRUE","Disabled",HYPERLINK("http://127.0.0.1:5173/__dev/asset-source"&amp;"?assetId="&amp;ENCODEURL($A65)&amp;"&amp;sig="&amp;ENCODEURL($B65&amp;"|"&amp;$C65&amp;"|"&amp;$D65&amp;"|"&amp;$E65&amp;"|"&amp;$H65),"Open source")))</f>
        <v/>
      </c>
      <c r="K65" s="24" t="str">
        <f>IF($A65="","",IF(OR(UPPER($H65)&lt;&gt;"TRUE",$I65=""),"Unavailable",HYPERLINK("http://127.0.0.1:5173/__dev/asset-resolved"&amp;"?assetId="&amp;ENCODEURL($A65)&amp;"&amp;sig="&amp;ENCODEURL($B65&amp;"|"&amp;$C65&amp;"|"&amp;$D65&amp;"|"&amp;$E65&amp;"|"&amp;$H65),"Open resolved")))</f>
        <v/>
      </c>
      <c r="L65" s="87"/>
      <c r="M65" s="24" t="str">
        <f>IF($A65="","",HYPERLINK("#'ASSET_PREVIEW'!A65","Open preview"))</f>
        <v/>
      </c>
      <c r="N65" s="85" t="str">
        <f>IF($A65="","",IF(UPPER($H65)&lt;&gt;"TRUE","DISABLED",IF($C65="external_url",IF(OR(LEFT(LOWER($D65),7)="http://",LEFT(LOWER($D65),8)="https://"),"READY -&gt; "&amp;$I65,"NEEDS HTTP URL"),IF($C65="import_local",IF($D65="","NEEDS SOURCE FILE",IF($E65="","NEEDS TARGET PATH","READY -&gt; "&amp;$I65)),IF($C65="existing_public",IF(IF($D65&lt;&gt;"",$D65,$E65)&lt;&gt;"","READY -&gt; "&amp;$I65,"NEEDS PUBLIC PATH"),"CHECK MODE")))))</f>
        <v/>
      </c>
    </row>
    <row r="66" spans="1:14" x14ac:dyDescent="0.25">
      <c r="A66" s="72"/>
      <c r="B66" s="72"/>
      <c r="C66" s="72"/>
      <c r="D66" s="73"/>
      <c r="E66" s="73"/>
      <c r="F66" s="72"/>
      <c r="G66" s="73"/>
      <c r="H66" s="77"/>
      <c r="I66" s="83" t="str">
        <f>IF($A66="","",IF(UPPER($H66)&lt;&gt;"TRUE","",IF($C66="import_local",IF($E66&lt;&gt;"",$E66,""),IF($C66="external_url",$D66,IF(IF($D66&lt;&gt;"",$D66,$E66)&lt;&gt;"",IF($D66&lt;&gt;"",$D66,$E66),"")))))</f>
        <v/>
      </c>
      <c r="J66" s="24" t="str">
        <f>IF($A66="","",IF(UPPER($H66)&lt;&gt;"TRUE","Disabled",HYPERLINK("http://127.0.0.1:5173/__dev/asset-source"&amp;"?assetId="&amp;ENCODEURL($A66)&amp;"&amp;sig="&amp;ENCODEURL($B66&amp;"|"&amp;$C66&amp;"|"&amp;$D66&amp;"|"&amp;$E66&amp;"|"&amp;$H66),"Open source")))</f>
        <v/>
      </c>
      <c r="K66" s="24" t="str">
        <f>IF($A66="","",IF(OR(UPPER($H66)&lt;&gt;"TRUE",$I66=""),"Unavailable",HYPERLINK("http://127.0.0.1:5173/__dev/asset-resolved"&amp;"?assetId="&amp;ENCODEURL($A66)&amp;"&amp;sig="&amp;ENCODEURL($B66&amp;"|"&amp;$C66&amp;"|"&amp;$D66&amp;"|"&amp;$E66&amp;"|"&amp;$H66),"Open resolved")))</f>
        <v/>
      </c>
      <c r="L66" s="87"/>
      <c r="M66" s="24" t="str">
        <f>IF($A66="","",HYPERLINK("#'ASSET_PREVIEW'!A66","Open preview"))</f>
        <v/>
      </c>
      <c r="N66" s="85" t="str">
        <f>IF($A66="","",IF(UPPER($H66)&lt;&gt;"TRUE","DISABLED",IF($C66="external_url",IF(OR(LEFT(LOWER($D66),7)="http://",LEFT(LOWER($D66),8)="https://"),"READY -&gt; "&amp;$I66,"NEEDS HTTP URL"),IF($C66="import_local",IF($D66="","NEEDS SOURCE FILE",IF($E66="","NEEDS TARGET PATH","READY -&gt; "&amp;$I66)),IF($C66="existing_public",IF(IF($D66&lt;&gt;"",$D66,$E66)&lt;&gt;"","READY -&gt; "&amp;$I66,"NEEDS PUBLIC PATH"),"CHECK MODE")))))</f>
        <v/>
      </c>
    </row>
    <row r="67" spans="1:14" x14ac:dyDescent="0.25">
      <c r="A67" s="68"/>
      <c r="B67" s="68"/>
      <c r="C67" s="68"/>
      <c r="D67" s="69"/>
      <c r="E67" s="69"/>
      <c r="F67" s="68"/>
      <c r="G67" s="69"/>
      <c r="H67" s="76"/>
      <c r="I67" s="83" t="str">
        <f>IF($A67="","",IF(UPPER($H67)&lt;&gt;"TRUE","",IF($C67="import_local",IF($E67&lt;&gt;"",$E67,""),IF($C67="external_url",$D67,IF(IF($D67&lt;&gt;"",$D67,$E67)&lt;&gt;"",IF($D67&lt;&gt;"",$D67,$E67),"")))))</f>
        <v/>
      </c>
      <c r="J67" s="24" t="str">
        <f>IF($A67="","",IF(UPPER($H67)&lt;&gt;"TRUE","Disabled",HYPERLINK("http://127.0.0.1:5173/__dev/asset-source"&amp;"?assetId="&amp;ENCODEURL($A67)&amp;"&amp;sig="&amp;ENCODEURL($B67&amp;"|"&amp;$C67&amp;"|"&amp;$D67&amp;"|"&amp;$E67&amp;"|"&amp;$H67),"Open source")))</f>
        <v/>
      </c>
      <c r="K67" s="24" t="str">
        <f>IF($A67="","",IF(OR(UPPER($H67)&lt;&gt;"TRUE",$I67=""),"Unavailable",HYPERLINK("http://127.0.0.1:5173/__dev/asset-resolved"&amp;"?assetId="&amp;ENCODEURL($A67)&amp;"&amp;sig="&amp;ENCODEURL($B67&amp;"|"&amp;$C67&amp;"|"&amp;$D67&amp;"|"&amp;$E67&amp;"|"&amp;$H67),"Open resolved")))</f>
        <v/>
      </c>
      <c r="L67" s="87"/>
      <c r="M67" s="24" t="str">
        <f>IF($A67="","",HYPERLINK("#'ASSET_PREVIEW'!A67","Open preview"))</f>
        <v/>
      </c>
      <c r="N67" s="85" t="str">
        <f>IF($A67="","",IF(UPPER($H67)&lt;&gt;"TRUE","DISABLED",IF($C67="external_url",IF(OR(LEFT(LOWER($D67),7)="http://",LEFT(LOWER($D67),8)="https://"),"READY -&gt; "&amp;$I67,"NEEDS HTTP URL"),IF($C67="import_local",IF($D67="","NEEDS SOURCE FILE",IF($E67="","NEEDS TARGET PATH","READY -&gt; "&amp;$I67)),IF($C67="existing_public",IF(IF($D67&lt;&gt;"",$D67,$E67)&lt;&gt;"","READY -&gt; "&amp;$I67,"NEEDS PUBLIC PATH"),"CHECK MODE")))))</f>
        <v/>
      </c>
    </row>
    <row r="68" spans="1:14" x14ac:dyDescent="0.25">
      <c r="A68" s="72"/>
      <c r="B68" s="72"/>
      <c r="C68" s="72"/>
      <c r="D68" s="73"/>
      <c r="E68" s="73"/>
      <c r="F68" s="72"/>
      <c r="G68" s="73"/>
      <c r="H68" s="77"/>
      <c r="I68" s="83" t="str">
        <f>IF($A68="","",IF(UPPER($H68)&lt;&gt;"TRUE","",IF($C68="import_local",IF($E68&lt;&gt;"",$E68,""),IF($C68="external_url",$D68,IF(IF($D68&lt;&gt;"",$D68,$E68)&lt;&gt;"",IF($D68&lt;&gt;"",$D68,$E68),"")))))</f>
        <v/>
      </c>
      <c r="J68" s="24" t="str">
        <f>IF($A68="","",IF(UPPER($H68)&lt;&gt;"TRUE","Disabled",HYPERLINK("http://127.0.0.1:5173/__dev/asset-source"&amp;"?assetId="&amp;ENCODEURL($A68)&amp;"&amp;sig="&amp;ENCODEURL($B68&amp;"|"&amp;$C68&amp;"|"&amp;$D68&amp;"|"&amp;$E68&amp;"|"&amp;$H68),"Open source")))</f>
        <v/>
      </c>
      <c r="K68" s="24" t="str">
        <f>IF($A68="","",IF(OR(UPPER($H68)&lt;&gt;"TRUE",$I68=""),"Unavailable",HYPERLINK("http://127.0.0.1:5173/__dev/asset-resolved"&amp;"?assetId="&amp;ENCODEURL($A68)&amp;"&amp;sig="&amp;ENCODEURL($B68&amp;"|"&amp;$C68&amp;"|"&amp;$D68&amp;"|"&amp;$E68&amp;"|"&amp;$H68),"Open resolved")))</f>
        <v/>
      </c>
      <c r="L68" s="87"/>
      <c r="M68" s="24" t="str">
        <f>IF($A68="","",HYPERLINK("#'ASSET_PREVIEW'!A68","Open preview"))</f>
        <v/>
      </c>
      <c r="N68" s="85" t="str">
        <f>IF($A68="","",IF(UPPER($H68)&lt;&gt;"TRUE","DISABLED",IF($C68="external_url",IF(OR(LEFT(LOWER($D68),7)="http://",LEFT(LOWER($D68),8)="https://"),"READY -&gt; "&amp;$I68,"NEEDS HTTP URL"),IF($C68="import_local",IF($D68="","NEEDS SOURCE FILE",IF($E68="","NEEDS TARGET PATH","READY -&gt; "&amp;$I68)),IF($C68="existing_public",IF(IF($D68&lt;&gt;"",$D68,$E68)&lt;&gt;"","READY -&gt; "&amp;$I68,"NEEDS PUBLIC PATH"),"CHECK MODE")))))</f>
        <v/>
      </c>
    </row>
    <row r="69" spans="1:14" x14ac:dyDescent="0.25">
      <c r="A69" s="63"/>
      <c r="B69" s="63"/>
      <c r="C69" s="63"/>
      <c r="D69" s="62"/>
      <c r="E69" s="62"/>
      <c r="F69" s="63"/>
      <c r="G69" s="62"/>
      <c r="H69" s="63"/>
      <c r="I69" s="62"/>
      <c r="J69" s="63"/>
      <c r="K69" s="63"/>
      <c r="L69" s="62"/>
      <c r="M69" s="63"/>
      <c r="N69" s="63"/>
    </row>
    <row r="70" spans="1:14" x14ac:dyDescent="0.25">
      <c r="A70" s="63"/>
      <c r="B70" s="63"/>
      <c r="C70" s="63"/>
      <c r="D70" s="62"/>
      <c r="E70" s="62"/>
      <c r="F70" s="63"/>
      <c r="G70" s="62"/>
      <c r="H70" s="63"/>
      <c r="I70" s="62"/>
      <c r="J70" s="63"/>
      <c r="K70" s="63"/>
      <c r="L70" s="62"/>
      <c r="M70" s="63"/>
      <c r="N70" s="63"/>
    </row>
    <row r="71" spans="1:14" x14ac:dyDescent="0.25">
      <c r="A71" s="63"/>
      <c r="B71" s="63"/>
      <c r="C71" s="63"/>
      <c r="D71" s="62"/>
      <c r="E71" s="62"/>
      <c r="F71" s="63"/>
      <c r="G71" s="62"/>
      <c r="H71" s="63"/>
      <c r="I71" s="62"/>
      <c r="J71" s="63"/>
      <c r="K71" s="63"/>
      <c r="L71" s="62"/>
      <c r="M71" s="63"/>
      <c r="N71" s="63"/>
    </row>
    <row r="72" spans="1:14" x14ac:dyDescent="0.25">
      <c r="A72" s="63"/>
      <c r="B72" s="63"/>
      <c r="C72" s="63"/>
      <c r="D72" s="62"/>
      <c r="E72" s="62"/>
      <c r="F72" s="63"/>
      <c r="G72" s="62"/>
      <c r="H72" s="63"/>
      <c r="I72" s="62"/>
      <c r="J72" s="63"/>
      <c r="K72" s="63"/>
      <c r="L72" s="62"/>
      <c r="M72" s="63"/>
      <c r="N72" s="63"/>
    </row>
    <row r="73" spans="1:14" x14ac:dyDescent="0.25">
      <c r="A73" s="63"/>
      <c r="B73" s="63"/>
      <c r="C73" s="63"/>
      <c r="D73" s="62"/>
      <c r="E73" s="62"/>
      <c r="F73" s="63"/>
      <c r="G73" s="62"/>
      <c r="H73" s="63"/>
      <c r="I73" s="62"/>
      <c r="J73" s="63"/>
      <c r="K73" s="63"/>
      <c r="L73" s="62"/>
      <c r="M73" s="63"/>
      <c r="N73" s="63"/>
    </row>
  </sheetData>
  <autoFilter ref="A8:N8"/>
  <mergeCells count="16">
    <mergeCell ref="A1:N1"/>
    <mergeCell ref="A2:N2"/>
    <mergeCell ref="A3:N3"/>
    <mergeCell ref="A4:B4"/>
    <mergeCell ref="C4:D4"/>
    <mergeCell ref="E4:F4"/>
    <mergeCell ref="G4:H4"/>
    <mergeCell ref="I4:J4"/>
    <mergeCell ref="K4:L4"/>
    <mergeCell ref="M4:N4"/>
    <mergeCell ref="A5:N5"/>
    <mergeCell ref="A6:B6"/>
    <mergeCell ref="C6:D6"/>
    <mergeCell ref="E6:F6"/>
    <mergeCell ref="G6:H6"/>
    <mergeCell ref="A7:N7"/>
  </mergeCells>
  <dataValidations count="6">
    <dataValidation type="list" allowBlank="1" sqref="B10:B68">
      <formula1>'_LOOKUPS'!$C$2:$C$5</formula1>
    </dataValidation>
    <dataValidation type="list" allowBlank="1" sqref="B9:B68">
      <formula1>'_LOOKUPS'!$C$2:$C$5</formula1>
    </dataValidation>
    <dataValidation type="list" allowBlank="1" sqref="C10:C68">
      <formula1>'_LOOKUPS'!$D$2:$D$4</formula1>
    </dataValidation>
    <dataValidation type="list" allowBlank="1" sqref="C9:C68">
      <formula1>'_LOOKUPS'!$D$2:$D$4</formula1>
    </dataValidation>
    <dataValidation type="list" allowBlank="1" sqref="H10:H68">
      <formula1>'_LOOKUPS'!$A$2:$A$3</formula1>
    </dataValidation>
    <dataValidation type="list" allowBlank="1" sqref="H9:H68">
      <formula1>'_LOOKUPS'!$A$2:$A$3</formula1>
    </dataValidation>
  </dataValidations>
  <hyperlinks>
    <hyperlink ref="A4" r:id="rId1" tooltip="Back to HOME -&gt; HOME" location="#'HOME'!A1"/>
    <hyperlink ref="C4" r:id="rId2" tooltip="Guide -&gt; README" location="#'README'!A1"/>
    <hyperlink ref="E4" r:id="rId3" tooltip="Prev: Contact -&gt; CONTACT" location="#'CONTACT'!A1"/>
    <hyperlink ref="G4" r:id="rId4" tooltip="Next: Asset Preview Index -&gt; ASSET_PREVIEW" location="#'ASSET_PREVIEW'!A1"/>
    <hyperlink ref="I4" r:id="rId5" tooltip="Asset Preview Index -&gt; ASSET_PREVIEW" location="#'ASSET_PREVIEW'!A8"/>
    <hyperlink ref="K4" r:id="rId6" tooltip="Projects -&gt; PROJECTS" location="#'PROJECTS'!A8"/>
    <hyperlink ref="M4" r:id="rId7" tooltip="Testimonials -&gt; TESTIMONIALS" location="#'TESTIMONIALS'!A8"/>
    <hyperlink ref="L9" r:id="rId8" tooltip="Profile avatar -&gt; PROFILE" location="#'PROFILE'!A9"/>
    <hyperlink ref="L10" r:id="rId9" tooltip="Unity Interface Systems video -&gt; PROJECTS" location="#'PROJECTS'!A9"/>
    <hyperlink ref="L11" r:id="rId10" tooltip="Unity Interface Systems thumbnail -&gt; PROJECTS" location="#'PROJECTS'!A9"/>
    <hyperlink ref="L12" r:id="rId11" tooltip="Unity Interface Systems icon -&gt; PROJECTS" location="#'PROJECTS'!A9"/>
    <hyperlink ref="L13" r:id="rId12" tooltip="Smart Inbox Manager video -&gt; PROJECTS" location="#'PROJECTS'!A10"/>
    <hyperlink ref="L14" r:id="rId13" tooltip="Smart Inbox Manager thumbnail -&gt; PROJECTS" location="#'PROJECTS'!A10"/>
    <hyperlink ref="L15" r:id="rId14" tooltip="Smart Inbox Manager icon -&gt; PROJECTS" location="#'PROJECTS'!A10"/>
    <hyperlink ref="L16" r:id="rId15" tooltip="Padel Booking Platform video -&gt; PROJECTS" location="#'PROJECTS'!A11"/>
    <hyperlink ref="L17" r:id="rId16" tooltip="Padel Booking Platform thumbnail -&gt; PROJECTS" location="#'PROJECTS'!A11"/>
    <hyperlink ref="L18" r:id="rId17" tooltip="Padel Booking Platform icon -&gt; PROJECTS" location="#'PROJECTS'!A11"/>
    <hyperlink ref="L19" r:id="rId18" tooltip="Twitch Live Analytics video -&gt; PROJECTS" location="#'PROJECTS'!A12"/>
    <hyperlink ref="L20" r:id="rId19" tooltip="Twitch Live Analytics thumbnail -&gt; PROJECTS" location="#'PROJECTS'!A12"/>
    <hyperlink ref="L21" r:id="rId20" tooltip="Twitch Live Analytics icon -&gt; PROJECTS" location="#'PROJECTS'!A12"/>
    <hyperlink ref="L22" r:id="rId21" tooltip="USB Exfiltration Tool video -&gt; PROJECTS" location="#'PROJECTS'!A13"/>
    <hyperlink ref="L23" r:id="rId22" tooltip="USB Exfiltration Tool thumbnail -&gt; PROJECTS" location="#'PROJECTS'!A13"/>
    <hyperlink ref="L24" r:id="rId23" tooltip="USB Exfiltration Tool icon -&gt; PROJECTS" location="#'PROJECTS'!A13"/>
    <hyperlink ref="L25" r:id="rId24" tooltip="automation-outstanding-work avatar -&gt; TESTIMONIALS" location="#'TESTIMONIALS'!A19"/>
    <hyperlink ref="L26" r:id="rId25" tooltip="unity-great-work avatar -&gt; TESTIMONIALS" location="#'TESTIMONIALS'!A12"/>
    <hyperlink ref="L27" r:id="rId26" tooltip="automation-nice-guy avatar -&gt; TESTIMONIALS" location="#'TESTIMONIALS'!A25"/>
    <hyperlink ref="L28" r:id="rId27" tooltip="automation-wonderful-details avatar -&gt; TESTIMONIALS" location="#'TESTIMONIALS'!A21"/>
    <hyperlink ref="L29" r:id="rId28" tooltip="automation-seo-detail avatar -&gt; TESTIMONIALS" location="#'TESTIMONIALS'!A15"/>
    <hyperlink ref="L30" r:id="rId29" tooltip="automation-fast-turnaround avatar -&gt; TESTIMONIALS" location="#'TESTIMONIALS'!A23"/>
    <hyperlink ref="L31" r:id="rId30" tooltip="automation-vigor avatar -&gt; TESTIMONIALS" location="#'TESTIMONIALS'!A22"/>
    <hyperlink ref="L32" r:id="rId31" tooltip="2 refs | unity-progress-communication avatar -&gt; TESTIMONIALS" location="#'TESTIMONIALS'!A9"/>
    <hyperlink ref="L35" r:id="rId32" tooltip="automation-highly-recommend avatar -&gt; TESTIMONIALS" location="#'TESTIMONIALS'!A24"/>
    <hyperlink ref="L36" r:id="rId33" tooltip="automation-exceeded-expectations avatar -&gt; TESTIMONIALS" location="#'TESTIMONIALS'!A16"/>
    <hyperlink ref="L37" r:id="rId34" tooltip="automation-fiverr-credit avatar -&gt; TESTIMONIALS" location="#'TESTIMONIALS'!A18"/>
    <hyperlink ref="L38" r:id="rId35" tooltip="automation-communication-timelines avatar -&gt; TESTIMONIALS" location="#'TESTIMONIALS'!A20"/>
    <hyperlink ref="L39" r:id="rId36" tooltip="unity-complex-ownership avatar -&gt; TESTIMONIALS" location="#'TESTIMONIALS'!A13"/>
    <hyperlink ref="L40" r:id="rId37" tooltip="unity-fast-delivery avatar -&gt; TESTIMONIALS" location="#'TESTIMONIALS'!A10"/>
    <hyperlink ref="L41" r:id="rId38" tooltip="unity-communication avatar -&gt; TESTIMONIALS" location="#'TESTIMONIALS'!A11"/>
    <hyperlink ref="L42" r:id="rId39" tooltip="unity-repeat-client avatar -&gt; TESTIMONIALS" location="#'TESTIMONIALS'!A14"/>
    <hyperlink ref="L45" r:id="rId40" tooltip="Remote PC Bridge video -&gt; PROJECTS" location="#'PROJECTS'!A14"/>
    <hyperlink ref="L46" r:id="rId41" tooltip="Remote PC Bridge thumbnail -&gt; PROJECTS" location="#'PROJECTS'!A14"/>
    <hyperlink ref="L47" r:id="rId42" tooltip="Remote PC Bridge icon -&gt; PROJECTS" location="#'PROJECTS'!A14"/>
    <hyperlink ref="L48" r:id="rId43" tooltip="DataCraft thumbnail -&gt; PROJECTS" location="#'PROJECTS'!A15"/>
    <hyperlink ref="L49" r:id="rId44" tooltip="DataCraft icon -&gt; PROJECTS" location="#'PROJECTS'!A15"/>
    <hyperlink ref="L50" r:id="rId45" tooltip="DataCraft gallery -&gt; PROJECTS" location="#'PROJECTS'!A15"/>
    <hyperlink ref="L51" r:id="rId46" tooltip="DataCraft gallery -&gt; PROJECTS" location="#'PROJECTS'!A15"/>
    <hyperlink ref="L52" r:id="rId47" tooltip="DataCraft gallery -&gt; PROJECTS" location="#'PROJECTS'!A15"/>
    <hyperlink ref="L53" r:id="rId48" tooltip="DataCraft gallery -&gt; PROJECTS" location="#'PROJECTS'!A15"/>
    <hyperlink ref="L54" r:id="rId49" tooltip="DataCraft gallery -&gt; PROJECTS" location="#'PROJECTS'!A15"/>
    <hyperlink ref="L55" r:id="rId50" tooltip="DataCraft gallery -&gt; PROJECTS" location="#'PROJECTS'!A15"/>
    <hyperlink ref="L56" r:id="rId51" tooltip="DataCraft gallery -&gt; PROJECTS" location="#'PROJECTS'!A15"/>
    <hyperlink ref="L57" r:id="rId52" tooltip="DataCraft gallery -&gt; PROJECTS" location="#'PROJECTS'!A15"/>
    <hyperlink ref="L58" r:id="rId53" tooltip="DataCraft video -&gt; PROJECTS" location="#'PROJECTS'!A15"/>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5CF6"/>
  </sheetPr>
  <dimension ref="A1:G68"/>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30" customWidth="1"/>
    <col min="2" max="2" width="14" customWidth="1"/>
    <col min="3" max="3" width="20" customWidth="1"/>
    <col min="4" max="4" width="46" customWidth="1"/>
    <col min="5" max="5" width="30" customWidth="1"/>
    <col min="6" max="7" width="18" customWidth="1"/>
  </cols>
  <sheetData>
    <row r="1" ht="28" customHeight="1" spans="1:7" x14ac:dyDescent="0.25">
      <c r="A1" s="55" t="s">
        <v>80</v>
      </c>
      <c r="B1" s="55"/>
      <c r="C1" s="55"/>
      <c r="D1" s="55"/>
      <c r="E1" s="55"/>
      <c r="F1" s="55"/>
      <c r="G1" s="55"/>
    </row>
    <row r="2" ht="22" customHeight="1" spans="1:7" x14ac:dyDescent="0.25">
      <c r="A2" s="56" t="s">
        <v>603</v>
      </c>
      <c r="B2" s="56"/>
      <c r="C2" s="56"/>
      <c r="D2" s="56"/>
      <c r="E2" s="56"/>
      <c r="F2" s="56"/>
      <c r="G2" s="56"/>
    </row>
    <row r="3" ht="20" customHeight="1" spans="1:7" x14ac:dyDescent="0.25">
      <c r="A3" s="81" t="s">
        <v>193</v>
      </c>
      <c r="B3" s="81"/>
      <c r="C3" s="81"/>
      <c r="D3" s="81"/>
      <c r="E3" s="81"/>
      <c r="F3" s="81"/>
      <c r="G3" s="81"/>
    </row>
    <row r="4" ht="20" customHeight="1" spans="1:7" x14ac:dyDescent="0.25">
      <c r="A4" s="24" t="s">
        <v>61</v>
      </c>
      <c r="B4" s="24" t="s">
        <v>194</v>
      </c>
      <c r="C4" s="24" t="s">
        <v>604</v>
      </c>
      <c r="D4" s="25"/>
      <c r="E4" s="25"/>
      <c r="F4" s="25"/>
      <c r="G4" s="25"/>
    </row>
    <row r="5" ht="20" customHeight="1" spans="1:7" x14ac:dyDescent="0.25">
      <c r="A5" s="4" t="s">
        <v>197</v>
      </c>
      <c r="B5" s="4"/>
      <c r="C5" s="4"/>
      <c r="D5" s="4"/>
      <c r="E5" s="4"/>
      <c r="F5" s="4"/>
      <c r="G5" s="4"/>
    </row>
    <row r="6" ht="18" customHeight="1" spans="1:7" x14ac:dyDescent="0.25">
      <c r="A6" s="58" t="s">
        <v>198</v>
      </c>
      <c r="B6" s="59" t="s">
        <v>199</v>
      </c>
      <c r="C6" s="60" t="s">
        <v>200</v>
      </c>
      <c r="D6" s="61" t="s">
        <v>201</v>
      </c>
      <c r="E6" s="25"/>
      <c r="F6" s="25"/>
      <c r="G6" s="25"/>
    </row>
    <row r="7" ht="22" customHeight="1" spans="1:7" x14ac:dyDescent="0.25">
      <c r="A7" s="64" t="s">
        <v>202</v>
      </c>
      <c r="B7" s="64"/>
      <c r="C7" s="64"/>
      <c r="D7" s="64"/>
      <c r="E7" s="64"/>
      <c r="F7" s="64"/>
      <c r="G7" s="64"/>
    </row>
    <row r="8" spans="1:7" x14ac:dyDescent="0.25">
      <c r="A8" s="88" t="s">
        <v>448</v>
      </c>
      <c r="B8" s="88" t="s">
        <v>449</v>
      </c>
      <c r="C8" s="89" t="s">
        <v>605</v>
      </c>
      <c r="D8" s="88" t="s">
        <v>455</v>
      </c>
      <c r="E8" s="88" t="s">
        <v>458</v>
      </c>
      <c r="F8" s="88" t="s">
        <v>456</v>
      </c>
      <c r="G8" s="88" t="s">
        <v>457</v>
      </c>
    </row>
    <row r="9" ht="86" customHeight="1" spans="1:7" x14ac:dyDescent="0.25">
      <c r="A9" s="90" t="str">
        <f>IF('ASSETS'!$A9="","",HYPERLINK("#'ASSETS'!A9",'ASSETS'!$A9))</f>
        <v>profile-avatar</v>
      </c>
      <c r="B9" s="91" t="str">
        <f>IF('ASSETS'!$A9="","",UPPER('ASSETS'!$B9))</f>
        <v>IMAGE</v>
      </c>
      <c r="C9" s="92" t="str">
        <f>IF('ASSETS'!$A9="","",IMAGE("http://127.0.0.1:5173/__dev/asset-preview"&amp;"?assetId="&amp;ENCODEURL('ASSETS'!$A9)&amp;"&amp;sig="&amp;ENCODEURL('ASSETS'!$B9&amp;"|"&amp;'ASSETS'!$C9&amp;"|"&amp;'ASSETS'!$D9&amp;"|"&amp;'ASSETS'!$E9&amp;"|"&amp;'ASSETS'!$H9),"Preview"))</f>
        <v>Preview</v>
      </c>
      <c r="D9" s="91" t="str">
        <f>IF('ASSETS'!$A9="","",'ASSETS'!$I9)</f>
        <v>/assets/alberto.webp</v>
      </c>
      <c r="E9" s="91" t="str">
        <f>IF('ASSETS'!$A9="","",'ASSETS'!$L9)</f>
        <v/>
      </c>
      <c r="F9" s="93" t="str">
        <f>IF('ASSETS'!$A9="","",IF(UPPER('ASSETS'!$H9)&lt;&gt;"TRUE","Disabled",HYPERLINK("http://127.0.0.1:5173/__dev/asset-source"&amp;"?assetId="&amp;ENCODEURL('ASSETS'!$A9)&amp;"&amp;sig="&amp;ENCODEURL('ASSETS'!$B9&amp;"|"&amp;'ASSETS'!$C9&amp;"|"&amp;'ASSETS'!$D9&amp;"|"&amp;'ASSETS'!$E9&amp;"|"&amp;'ASSETS'!$H9),"Open source")))</f>
        <v>Open source</v>
      </c>
      <c r="G9" s="93" t="str">
        <f>IF('ASSETS'!$A9="","",IF(OR(UPPER('ASSETS'!$H9)&lt;&gt;"TRUE",'ASSETS'!$I9=""),"Unavailable",HYPERLINK("http://127.0.0.1:5173/__dev/asset-resolved"&amp;"?assetId="&amp;ENCODEURL('ASSETS'!$A9)&amp;"&amp;sig="&amp;ENCODEURL('ASSETS'!$B9&amp;"|"&amp;'ASSETS'!$C9&amp;"|"&amp;'ASSETS'!$D9&amp;"|"&amp;'ASSETS'!$E9&amp;"|"&amp;'ASSETS'!$H9),"Open resolved")))</f>
        <v>Open resolved</v>
      </c>
    </row>
    <row r="10" ht="86" customHeight="1" spans="1:7" x14ac:dyDescent="0.25">
      <c r="A10" s="90" t="str">
        <f>IF('ASSETS'!$A10="","",HYPERLINK("#'ASSETS'!A10",'ASSETS'!$A10))</f>
        <v>project-1-video</v>
      </c>
      <c r="B10" s="91" t="str">
        <f>IF('ASSETS'!$A10="","",UPPER('ASSETS'!$B10))</f>
        <v>VIDEO</v>
      </c>
      <c r="C10" s="92" t="str">
        <f>IF('ASSETS'!$A10="","",IMAGE("http://127.0.0.1:5173/__dev/asset-preview"&amp;"?assetId="&amp;ENCODEURL('ASSETS'!$A10)&amp;"&amp;sig="&amp;ENCODEURL('ASSETS'!$B10&amp;"|"&amp;'ASSETS'!$C10&amp;"|"&amp;'ASSETS'!$D10&amp;"|"&amp;'ASSETS'!$E10&amp;"|"&amp;'ASSETS'!$H10),"Preview"))</f>
        <v>Preview</v>
      </c>
      <c r="D10" s="91" t="str">
        <f>IF('ASSETS'!$A10="","",'ASSETS'!$I10)</f>
        <v>/assets/projects/visual-interfaces.mp4</v>
      </c>
      <c r="E10" s="91" t="str">
        <f>IF('ASSETS'!$A10="","",'ASSETS'!$L10)</f>
        <v/>
      </c>
      <c r="F10" s="93" t="str">
        <f>IF('ASSETS'!$A10="","",IF(UPPER('ASSETS'!$H10)&lt;&gt;"TRUE","Disabled",HYPERLINK("http://127.0.0.1:5173/__dev/asset-source"&amp;"?assetId="&amp;ENCODEURL('ASSETS'!$A10)&amp;"&amp;sig="&amp;ENCODEURL('ASSETS'!$B10&amp;"|"&amp;'ASSETS'!$C10&amp;"|"&amp;'ASSETS'!$D10&amp;"|"&amp;'ASSETS'!$E10&amp;"|"&amp;'ASSETS'!$H10),"Open source")))</f>
        <v>Open source</v>
      </c>
      <c r="G10" s="93" t="str">
        <f>IF('ASSETS'!$A10="","",IF(OR(UPPER('ASSETS'!$H10)&lt;&gt;"TRUE",'ASSETS'!$I10=""),"Unavailable",HYPERLINK("http://127.0.0.1:5173/__dev/asset-resolved"&amp;"?assetId="&amp;ENCODEURL('ASSETS'!$A10)&amp;"&amp;sig="&amp;ENCODEURL('ASSETS'!$B10&amp;"|"&amp;'ASSETS'!$C10&amp;"|"&amp;'ASSETS'!$D10&amp;"|"&amp;'ASSETS'!$E10&amp;"|"&amp;'ASSETS'!$H10),"Open resolved")))</f>
        <v>Open resolved</v>
      </c>
    </row>
    <row r="11" ht="86" customHeight="1" spans="1:7" x14ac:dyDescent="0.25">
      <c r="A11" s="90" t="str">
        <f>IF('ASSETS'!$A11="","",HYPERLINK("#'ASSETS'!A11",'ASSETS'!$A11))</f>
        <v>project-1-thumbnail</v>
      </c>
      <c r="B11" s="91" t="str">
        <f>IF('ASSETS'!$A11="","",UPPER('ASSETS'!$B11))</f>
        <v>IMAGE</v>
      </c>
      <c r="C11" s="92" t="str">
        <f>IF('ASSETS'!$A11="","",IMAGE("http://127.0.0.1:5173/__dev/asset-preview"&amp;"?assetId="&amp;ENCODEURL('ASSETS'!$A11)&amp;"&amp;sig="&amp;ENCODEURL('ASSETS'!$B11&amp;"|"&amp;'ASSETS'!$C11&amp;"|"&amp;'ASSETS'!$D11&amp;"|"&amp;'ASSETS'!$E11&amp;"|"&amp;'ASSETS'!$H11),"Preview"))</f>
        <v>Preview</v>
      </c>
      <c r="D11" s="91" t="str">
        <f>IF('ASSETS'!$A11="","",'ASSETS'!$I11)</f>
        <v>/assets/projects/visual-interfaces.png</v>
      </c>
      <c r="E11" s="91" t="str">
        <f>IF('ASSETS'!$A11="","",'ASSETS'!$L11)</f>
        <v/>
      </c>
      <c r="F11" s="93" t="str">
        <f>IF('ASSETS'!$A11="","",IF(UPPER('ASSETS'!$H11)&lt;&gt;"TRUE","Disabled",HYPERLINK("http://127.0.0.1:5173/__dev/asset-source"&amp;"?assetId="&amp;ENCODEURL('ASSETS'!$A11)&amp;"&amp;sig="&amp;ENCODEURL('ASSETS'!$B11&amp;"|"&amp;'ASSETS'!$C11&amp;"|"&amp;'ASSETS'!$D11&amp;"|"&amp;'ASSETS'!$E11&amp;"|"&amp;'ASSETS'!$H11),"Open source")))</f>
        <v>Open source</v>
      </c>
      <c r="G11" s="93" t="str">
        <f>IF('ASSETS'!$A11="","",IF(OR(UPPER('ASSETS'!$H11)&lt;&gt;"TRUE",'ASSETS'!$I11=""),"Unavailable",HYPERLINK("http://127.0.0.1:5173/__dev/asset-resolved"&amp;"?assetId="&amp;ENCODEURL('ASSETS'!$A11)&amp;"&amp;sig="&amp;ENCODEURL('ASSETS'!$B11&amp;"|"&amp;'ASSETS'!$C11&amp;"|"&amp;'ASSETS'!$D11&amp;"|"&amp;'ASSETS'!$E11&amp;"|"&amp;'ASSETS'!$H11),"Open resolved")))</f>
        <v>Open resolved</v>
      </c>
    </row>
    <row r="12" ht="86" customHeight="1" spans="1:7" x14ac:dyDescent="0.25">
      <c r="A12" s="90" t="str">
        <f>IF('ASSETS'!$A12="","",HYPERLINK("#'ASSETS'!A12",'ASSETS'!$A12))</f>
        <v>project-1-icon</v>
      </c>
      <c r="B12" s="91" t="str">
        <f>IF('ASSETS'!$A12="","",UPPER('ASSETS'!$B12))</f>
        <v>ICON</v>
      </c>
      <c r="C12" s="92" t="str">
        <f>IF('ASSETS'!$A12="","",IMAGE("http://127.0.0.1:5173/__dev/asset-preview"&amp;"?assetId="&amp;ENCODEURL('ASSETS'!$A12)&amp;"&amp;sig="&amp;ENCODEURL('ASSETS'!$B12&amp;"|"&amp;'ASSETS'!$C12&amp;"|"&amp;'ASSETS'!$D12&amp;"|"&amp;'ASSETS'!$E12&amp;"|"&amp;'ASSETS'!$H12),"Preview"))</f>
        <v>Preview</v>
      </c>
      <c r="D12" s="91" t="str">
        <f>IF('ASSETS'!$A12="","",'ASSETS'!$I12)</f>
        <v>/assets/projects/unity.webp</v>
      </c>
      <c r="E12" s="91" t="str">
        <f>IF('ASSETS'!$A12="","",'ASSETS'!$L12)</f>
        <v/>
      </c>
      <c r="F12" s="93" t="str">
        <f>IF('ASSETS'!$A12="","",IF(UPPER('ASSETS'!$H12)&lt;&gt;"TRUE","Disabled",HYPERLINK("http://127.0.0.1:5173/__dev/asset-source"&amp;"?assetId="&amp;ENCODEURL('ASSETS'!$A12)&amp;"&amp;sig="&amp;ENCODEURL('ASSETS'!$B12&amp;"|"&amp;'ASSETS'!$C12&amp;"|"&amp;'ASSETS'!$D12&amp;"|"&amp;'ASSETS'!$E12&amp;"|"&amp;'ASSETS'!$H12),"Open source")))</f>
        <v>Open source</v>
      </c>
      <c r="G12" s="93" t="str">
        <f>IF('ASSETS'!$A12="","",IF(OR(UPPER('ASSETS'!$H12)&lt;&gt;"TRUE",'ASSETS'!$I12=""),"Unavailable",HYPERLINK("http://127.0.0.1:5173/__dev/asset-resolved"&amp;"?assetId="&amp;ENCODEURL('ASSETS'!$A12)&amp;"&amp;sig="&amp;ENCODEURL('ASSETS'!$B12&amp;"|"&amp;'ASSETS'!$C12&amp;"|"&amp;'ASSETS'!$D12&amp;"|"&amp;'ASSETS'!$E12&amp;"|"&amp;'ASSETS'!$H12),"Open resolved")))</f>
        <v>Open resolved</v>
      </c>
    </row>
    <row r="13" ht="86" customHeight="1" spans="1:7" x14ac:dyDescent="0.25">
      <c r="A13" s="90" t="str">
        <f>IF('ASSETS'!$A13="","",HYPERLINK("#'ASSETS'!A13",'ASSETS'!$A13))</f>
        <v>project-2-video</v>
      </c>
      <c r="B13" s="91" t="str">
        <f>IF('ASSETS'!$A13="","",UPPER('ASSETS'!$B13))</f>
        <v>VIDEO</v>
      </c>
      <c r="C13" s="92" t="str">
        <f>IF('ASSETS'!$A13="","",IMAGE("http://127.0.0.1:5173/__dev/asset-preview"&amp;"?assetId="&amp;ENCODEURL('ASSETS'!$A13)&amp;"&amp;sig="&amp;ENCODEURL('ASSETS'!$B13&amp;"|"&amp;'ASSETS'!$C13&amp;"|"&amp;'ASSETS'!$D13&amp;"|"&amp;'ASSETS'!$E13&amp;"|"&amp;'ASSETS'!$H13),"Preview"))</f>
        <v>Preview</v>
      </c>
      <c r="D13" s="91" t="str">
        <f>IF('ASSETS'!$A13="","",'ASSETS'!$I13)</f>
        <v>/assets/projects/zero-touch-ai.mp4</v>
      </c>
      <c r="E13" s="91" t="str">
        <f>IF('ASSETS'!$A13="","",'ASSETS'!$L13)</f>
        <v/>
      </c>
      <c r="F13" s="93" t="str">
        <f>IF('ASSETS'!$A13="","",IF(UPPER('ASSETS'!$H13)&lt;&gt;"TRUE","Disabled",HYPERLINK("http://127.0.0.1:5173/__dev/asset-source"&amp;"?assetId="&amp;ENCODEURL('ASSETS'!$A13)&amp;"&amp;sig="&amp;ENCODEURL('ASSETS'!$B13&amp;"|"&amp;'ASSETS'!$C13&amp;"|"&amp;'ASSETS'!$D13&amp;"|"&amp;'ASSETS'!$E13&amp;"|"&amp;'ASSETS'!$H13),"Open source")))</f>
        <v>Open source</v>
      </c>
      <c r="G13" s="93" t="str">
        <f>IF('ASSETS'!$A13="","",IF(OR(UPPER('ASSETS'!$H13)&lt;&gt;"TRUE",'ASSETS'!$I13=""),"Unavailable",HYPERLINK("http://127.0.0.1:5173/__dev/asset-resolved"&amp;"?assetId="&amp;ENCODEURL('ASSETS'!$A13)&amp;"&amp;sig="&amp;ENCODEURL('ASSETS'!$B13&amp;"|"&amp;'ASSETS'!$C13&amp;"|"&amp;'ASSETS'!$D13&amp;"|"&amp;'ASSETS'!$E13&amp;"|"&amp;'ASSETS'!$H13),"Open resolved")))</f>
        <v>Open resolved</v>
      </c>
    </row>
    <row r="14" ht="86" customHeight="1" spans="1:7" x14ac:dyDescent="0.25">
      <c r="A14" s="90" t="str">
        <f>IF('ASSETS'!$A14="","",HYPERLINK("#'ASSETS'!A14",'ASSETS'!$A14))</f>
        <v>project-2-thumbnail</v>
      </c>
      <c r="B14" s="91" t="str">
        <f>IF('ASSETS'!$A14="","",UPPER('ASSETS'!$B14))</f>
        <v>IMAGE</v>
      </c>
      <c r="C14" s="92" t="str">
        <f>IF('ASSETS'!$A14="","",IMAGE("http://127.0.0.1:5173/__dev/asset-preview"&amp;"?assetId="&amp;ENCODEURL('ASSETS'!$A14)&amp;"&amp;sig="&amp;ENCODEURL('ASSETS'!$B14&amp;"|"&amp;'ASSETS'!$C14&amp;"|"&amp;'ASSETS'!$D14&amp;"|"&amp;'ASSETS'!$E14&amp;"|"&amp;'ASSETS'!$H14),"Preview"))</f>
        <v>Preview</v>
      </c>
      <c r="D14" s="91" t="str">
        <f>IF('ASSETS'!$A14="","",'ASSETS'!$I14)</f>
        <v>/assets/projects/zero-touch-ai.png</v>
      </c>
      <c r="E14" s="91" t="str">
        <f>IF('ASSETS'!$A14="","",'ASSETS'!$L14)</f>
        <v/>
      </c>
      <c r="F14" s="93" t="str">
        <f>IF('ASSETS'!$A14="","",IF(UPPER('ASSETS'!$H14)&lt;&gt;"TRUE","Disabled",HYPERLINK("http://127.0.0.1:5173/__dev/asset-source"&amp;"?assetId="&amp;ENCODEURL('ASSETS'!$A14)&amp;"&amp;sig="&amp;ENCODEURL('ASSETS'!$B14&amp;"|"&amp;'ASSETS'!$C14&amp;"|"&amp;'ASSETS'!$D14&amp;"|"&amp;'ASSETS'!$E14&amp;"|"&amp;'ASSETS'!$H14),"Open source")))</f>
        <v>Open source</v>
      </c>
      <c r="G14" s="93" t="str">
        <f>IF('ASSETS'!$A14="","",IF(OR(UPPER('ASSETS'!$H14)&lt;&gt;"TRUE",'ASSETS'!$I14=""),"Unavailable",HYPERLINK("http://127.0.0.1:5173/__dev/asset-resolved"&amp;"?assetId="&amp;ENCODEURL('ASSETS'!$A14)&amp;"&amp;sig="&amp;ENCODEURL('ASSETS'!$B14&amp;"|"&amp;'ASSETS'!$C14&amp;"|"&amp;'ASSETS'!$D14&amp;"|"&amp;'ASSETS'!$E14&amp;"|"&amp;'ASSETS'!$H14),"Open resolved")))</f>
        <v>Open resolved</v>
      </c>
    </row>
    <row r="15" ht="86" customHeight="1" spans="1:7" x14ac:dyDescent="0.25">
      <c r="A15" s="90" t="str">
        <f>IF('ASSETS'!$A15="","",HYPERLINK("#'ASSETS'!A15",'ASSETS'!$A15))</f>
        <v>project-2-icon</v>
      </c>
      <c r="B15" s="91" t="str">
        <f>IF('ASSETS'!$A15="","",UPPER('ASSETS'!$B15))</f>
        <v>ICON</v>
      </c>
      <c r="C15" s="92" t="str">
        <f>IF('ASSETS'!$A15="","",IMAGE("http://127.0.0.1:5173/__dev/asset-preview"&amp;"?assetId="&amp;ENCODEURL('ASSETS'!$A15)&amp;"&amp;sig="&amp;ENCODEURL('ASSETS'!$B15&amp;"|"&amp;'ASSETS'!$C15&amp;"|"&amp;'ASSETS'!$D15&amp;"|"&amp;'ASSETS'!$E15&amp;"|"&amp;'ASSETS'!$H15),"Preview"))</f>
        <v>Preview</v>
      </c>
      <c r="D15" s="91" t="str">
        <f>IF('ASSETS'!$A15="","",'ASSETS'!$I15)</f>
        <v>/assets/projects/outlook-icon.webp</v>
      </c>
      <c r="E15" s="91" t="str">
        <f>IF('ASSETS'!$A15="","",'ASSETS'!$L15)</f>
        <v/>
      </c>
      <c r="F15" s="93" t="str">
        <f>IF('ASSETS'!$A15="","",IF(UPPER('ASSETS'!$H15)&lt;&gt;"TRUE","Disabled",HYPERLINK("http://127.0.0.1:5173/__dev/asset-source"&amp;"?assetId="&amp;ENCODEURL('ASSETS'!$A15)&amp;"&amp;sig="&amp;ENCODEURL('ASSETS'!$B15&amp;"|"&amp;'ASSETS'!$C15&amp;"|"&amp;'ASSETS'!$D15&amp;"|"&amp;'ASSETS'!$E15&amp;"|"&amp;'ASSETS'!$H15),"Open source")))</f>
        <v>Open source</v>
      </c>
      <c r="G15" s="93" t="str">
        <f>IF('ASSETS'!$A15="","",IF(OR(UPPER('ASSETS'!$H15)&lt;&gt;"TRUE",'ASSETS'!$I15=""),"Unavailable",HYPERLINK("http://127.0.0.1:5173/__dev/asset-resolved"&amp;"?assetId="&amp;ENCODEURL('ASSETS'!$A15)&amp;"&amp;sig="&amp;ENCODEURL('ASSETS'!$B15&amp;"|"&amp;'ASSETS'!$C15&amp;"|"&amp;'ASSETS'!$D15&amp;"|"&amp;'ASSETS'!$E15&amp;"|"&amp;'ASSETS'!$H15),"Open resolved")))</f>
        <v>Open resolved</v>
      </c>
    </row>
    <row r="16" ht="86" customHeight="1" spans="1:7" x14ac:dyDescent="0.25">
      <c r="A16" s="90" t="str">
        <f>IF('ASSETS'!$A16="","",HYPERLINK("#'ASSETS'!A16",'ASSETS'!$A16))</f>
        <v>project-3-video</v>
      </c>
      <c r="B16" s="91" t="str">
        <f>IF('ASSETS'!$A16="","",UPPER('ASSETS'!$B16))</f>
        <v>VIDEO</v>
      </c>
      <c r="C16" s="92" t="str">
        <f>IF('ASSETS'!$A16="","",IMAGE("http://127.0.0.1:5173/__dev/asset-preview"&amp;"?assetId="&amp;ENCODEURL('ASSETS'!$A16)&amp;"&amp;sig="&amp;ENCODEURL('ASSETS'!$B16&amp;"|"&amp;'ASSETS'!$C16&amp;"|"&amp;'ASSETS'!$D16&amp;"|"&amp;'ASSETS'!$E16&amp;"|"&amp;'ASSETS'!$H16),"Preview"))</f>
        <v>Preview</v>
      </c>
      <c r="D16" s="91" t="str">
        <f>IF('ASSETS'!$A16="","",'ASSETS'!$I16)</f>
        <v>/assets/projects/padel-booking.mp4</v>
      </c>
      <c r="E16" s="91" t="str">
        <f>IF('ASSETS'!$A16="","",'ASSETS'!$L16)</f>
        <v/>
      </c>
      <c r="F16" s="93" t="str">
        <f>IF('ASSETS'!$A16="","",IF(UPPER('ASSETS'!$H16)&lt;&gt;"TRUE","Disabled",HYPERLINK("http://127.0.0.1:5173/__dev/asset-source"&amp;"?assetId="&amp;ENCODEURL('ASSETS'!$A16)&amp;"&amp;sig="&amp;ENCODEURL('ASSETS'!$B16&amp;"|"&amp;'ASSETS'!$C16&amp;"|"&amp;'ASSETS'!$D16&amp;"|"&amp;'ASSETS'!$E16&amp;"|"&amp;'ASSETS'!$H16),"Open source")))</f>
        <v>Open source</v>
      </c>
      <c r="G16" s="93" t="str">
        <f>IF('ASSETS'!$A16="","",IF(OR(UPPER('ASSETS'!$H16)&lt;&gt;"TRUE",'ASSETS'!$I16=""),"Unavailable",HYPERLINK("http://127.0.0.1:5173/__dev/asset-resolved"&amp;"?assetId="&amp;ENCODEURL('ASSETS'!$A16)&amp;"&amp;sig="&amp;ENCODEURL('ASSETS'!$B16&amp;"|"&amp;'ASSETS'!$C16&amp;"|"&amp;'ASSETS'!$D16&amp;"|"&amp;'ASSETS'!$E16&amp;"|"&amp;'ASSETS'!$H16),"Open resolved")))</f>
        <v>Open resolved</v>
      </c>
    </row>
    <row r="17" ht="86" customHeight="1" spans="1:7" x14ac:dyDescent="0.25">
      <c r="A17" s="90" t="str">
        <f>IF('ASSETS'!$A17="","",HYPERLINK("#'ASSETS'!A17",'ASSETS'!$A17))</f>
        <v>project-3-thumbnail</v>
      </c>
      <c r="B17" s="91" t="str">
        <f>IF('ASSETS'!$A17="","",UPPER('ASSETS'!$B17))</f>
        <v>IMAGE</v>
      </c>
      <c r="C17" s="92" t="str">
        <f>IF('ASSETS'!$A17="","",IMAGE("http://127.0.0.1:5173/__dev/asset-preview"&amp;"?assetId="&amp;ENCODEURL('ASSETS'!$A17)&amp;"&amp;sig="&amp;ENCODEURL('ASSETS'!$B17&amp;"|"&amp;'ASSETS'!$C17&amp;"|"&amp;'ASSETS'!$D17&amp;"|"&amp;'ASSETS'!$E17&amp;"|"&amp;'ASSETS'!$H17),"Preview"))</f>
        <v>Preview</v>
      </c>
      <c r="D17" s="91" t="str">
        <f>IF('ASSETS'!$A17="","",'ASSETS'!$I17)</f>
        <v>/assets/projects/padel-booking.png</v>
      </c>
      <c r="E17" s="91" t="str">
        <f>IF('ASSETS'!$A17="","",'ASSETS'!$L17)</f>
        <v/>
      </c>
      <c r="F17" s="93" t="str">
        <f>IF('ASSETS'!$A17="","",IF(UPPER('ASSETS'!$H17)&lt;&gt;"TRUE","Disabled",HYPERLINK("http://127.0.0.1:5173/__dev/asset-source"&amp;"?assetId="&amp;ENCODEURL('ASSETS'!$A17)&amp;"&amp;sig="&amp;ENCODEURL('ASSETS'!$B17&amp;"|"&amp;'ASSETS'!$C17&amp;"|"&amp;'ASSETS'!$D17&amp;"|"&amp;'ASSETS'!$E17&amp;"|"&amp;'ASSETS'!$H17),"Open source")))</f>
        <v>Open source</v>
      </c>
      <c r="G17" s="93" t="str">
        <f>IF('ASSETS'!$A17="","",IF(OR(UPPER('ASSETS'!$H17)&lt;&gt;"TRUE",'ASSETS'!$I17=""),"Unavailable",HYPERLINK("http://127.0.0.1:5173/__dev/asset-resolved"&amp;"?assetId="&amp;ENCODEURL('ASSETS'!$A17)&amp;"&amp;sig="&amp;ENCODEURL('ASSETS'!$B17&amp;"|"&amp;'ASSETS'!$C17&amp;"|"&amp;'ASSETS'!$D17&amp;"|"&amp;'ASSETS'!$E17&amp;"|"&amp;'ASSETS'!$H17),"Open resolved")))</f>
        <v>Open resolved</v>
      </c>
    </row>
    <row r="18" ht="86" customHeight="1" spans="1:7" x14ac:dyDescent="0.25">
      <c r="A18" s="90" t="str">
        <f>IF('ASSETS'!$A18="","",HYPERLINK("#'ASSETS'!A18",'ASSETS'!$A18))</f>
        <v>project-3-icon</v>
      </c>
      <c r="B18" s="91" t="str">
        <f>IF('ASSETS'!$A18="","",UPPER('ASSETS'!$B18))</f>
        <v>ICON</v>
      </c>
      <c r="C18" s="92" t="str">
        <f>IF('ASSETS'!$A18="","",IMAGE("http://127.0.0.1:5173/__dev/asset-preview"&amp;"?assetId="&amp;ENCODEURL('ASSETS'!$A18)&amp;"&amp;sig="&amp;ENCODEURL('ASSETS'!$B18&amp;"|"&amp;'ASSETS'!$C18&amp;"|"&amp;'ASSETS'!$D18&amp;"|"&amp;'ASSETS'!$E18&amp;"|"&amp;'ASSETS'!$H18),"Preview"))</f>
        <v>Preview</v>
      </c>
      <c r="D18" s="91" t="str">
        <f>IF('ASSETS'!$A18="","",'ASSETS'!$I18)</f>
        <v>/assets/projects/padel-booking-logo.png</v>
      </c>
      <c r="E18" s="91" t="str">
        <f>IF('ASSETS'!$A18="","",'ASSETS'!$L18)</f>
        <v/>
      </c>
      <c r="F18" s="93" t="str">
        <f>IF('ASSETS'!$A18="","",IF(UPPER('ASSETS'!$H18)&lt;&gt;"TRUE","Disabled",HYPERLINK("http://127.0.0.1:5173/__dev/asset-source"&amp;"?assetId="&amp;ENCODEURL('ASSETS'!$A18)&amp;"&amp;sig="&amp;ENCODEURL('ASSETS'!$B18&amp;"|"&amp;'ASSETS'!$C18&amp;"|"&amp;'ASSETS'!$D18&amp;"|"&amp;'ASSETS'!$E18&amp;"|"&amp;'ASSETS'!$H18),"Open source")))</f>
        <v>Open source</v>
      </c>
      <c r="G18" s="93" t="str">
        <f>IF('ASSETS'!$A18="","",IF(OR(UPPER('ASSETS'!$H18)&lt;&gt;"TRUE",'ASSETS'!$I18=""),"Unavailable",HYPERLINK("http://127.0.0.1:5173/__dev/asset-resolved"&amp;"?assetId="&amp;ENCODEURL('ASSETS'!$A18)&amp;"&amp;sig="&amp;ENCODEURL('ASSETS'!$B18&amp;"|"&amp;'ASSETS'!$C18&amp;"|"&amp;'ASSETS'!$D18&amp;"|"&amp;'ASSETS'!$E18&amp;"|"&amp;'ASSETS'!$H18),"Open resolved")))</f>
        <v>Open resolved</v>
      </c>
    </row>
    <row r="19" ht="86" customHeight="1" spans="1:7" x14ac:dyDescent="0.25">
      <c r="A19" s="90" t="str">
        <f>IF('ASSETS'!$A19="","",HYPERLINK("#'ASSETS'!A19",'ASSETS'!$A19))</f>
        <v>project-4-video</v>
      </c>
      <c r="B19" s="91" t="str">
        <f>IF('ASSETS'!$A19="","",UPPER('ASSETS'!$B19))</f>
        <v>VIDEO</v>
      </c>
      <c r="C19" s="92" t="str">
        <f>IF('ASSETS'!$A19="","",IMAGE("http://127.0.0.1:5173/__dev/asset-preview"&amp;"?assetId="&amp;ENCODEURL('ASSETS'!$A19)&amp;"&amp;sig="&amp;ENCODEURL('ASSETS'!$B19&amp;"|"&amp;'ASSETS'!$C19&amp;"|"&amp;'ASSETS'!$D19&amp;"|"&amp;'ASSETS'!$E19&amp;"|"&amp;'ASSETS'!$H19),"Preview"))</f>
        <v>Preview</v>
      </c>
      <c r="D19" s="91" t="str">
        <f>IF('ASSETS'!$A19="","",'ASSETS'!$I19)</f>
        <v>/assets/projects/twitch-live.mp4</v>
      </c>
      <c r="E19" s="91" t="str">
        <f>IF('ASSETS'!$A19="","",'ASSETS'!$L19)</f>
        <v/>
      </c>
      <c r="F19" s="93" t="str">
        <f>IF('ASSETS'!$A19="","",IF(UPPER('ASSETS'!$H19)&lt;&gt;"TRUE","Disabled",HYPERLINK("http://127.0.0.1:5173/__dev/asset-source"&amp;"?assetId="&amp;ENCODEURL('ASSETS'!$A19)&amp;"&amp;sig="&amp;ENCODEURL('ASSETS'!$B19&amp;"|"&amp;'ASSETS'!$C19&amp;"|"&amp;'ASSETS'!$D19&amp;"|"&amp;'ASSETS'!$E19&amp;"|"&amp;'ASSETS'!$H19),"Open source")))</f>
        <v>Open source</v>
      </c>
      <c r="G19" s="93" t="str">
        <f>IF('ASSETS'!$A19="","",IF(OR(UPPER('ASSETS'!$H19)&lt;&gt;"TRUE",'ASSETS'!$I19=""),"Unavailable",HYPERLINK("http://127.0.0.1:5173/__dev/asset-resolved"&amp;"?assetId="&amp;ENCODEURL('ASSETS'!$A19)&amp;"&amp;sig="&amp;ENCODEURL('ASSETS'!$B19&amp;"|"&amp;'ASSETS'!$C19&amp;"|"&amp;'ASSETS'!$D19&amp;"|"&amp;'ASSETS'!$E19&amp;"|"&amp;'ASSETS'!$H19),"Open resolved")))</f>
        <v>Open resolved</v>
      </c>
    </row>
    <row r="20" ht="86" customHeight="1" spans="1:7" x14ac:dyDescent="0.25">
      <c r="A20" s="90" t="str">
        <f>IF('ASSETS'!$A20="","",HYPERLINK("#'ASSETS'!A20",'ASSETS'!$A20))</f>
        <v>project-4-thumbnail</v>
      </c>
      <c r="B20" s="91" t="str">
        <f>IF('ASSETS'!$A20="","",UPPER('ASSETS'!$B20))</f>
        <v>IMAGE</v>
      </c>
      <c r="C20" s="92" t="str">
        <f>IF('ASSETS'!$A20="","",IMAGE("http://127.0.0.1:5173/__dev/asset-preview"&amp;"?assetId="&amp;ENCODEURL('ASSETS'!$A20)&amp;"&amp;sig="&amp;ENCODEURL('ASSETS'!$B20&amp;"|"&amp;'ASSETS'!$C20&amp;"|"&amp;'ASSETS'!$D20&amp;"|"&amp;'ASSETS'!$E20&amp;"|"&amp;'ASSETS'!$H20),"Preview"))</f>
        <v>Preview</v>
      </c>
      <c r="D20" s="91" t="str">
        <f>IF('ASSETS'!$A20="","",'ASSETS'!$I20)</f>
        <v>/assets/projects/twitch-live.png</v>
      </c>
      <c r="E20" s="91" t="str">
        <f>IF('ASSETS'!$A20="","",'ASSETS'!$L20)</f>
        <v/>
      </c>
      <c r="F20" s="93" t="str">
        <f>IF('ASSETS'!$A20="","",IF(UPPER('ASSETS'!$H20)&lt;&gt;"TRUE","Disabled",HYPERLINK("http://127.0.0.1:5173/__dev/asset-source"&amp;"?assetId="&amp;ENCODEURL('ASSETS'!$A20)&amp;"&amp;sig="&amp;ENCODEURL('ASSETS'!$B20&amp;"|"&amp;'ASSETS'!$C20&amp;"|"&amp;'ASSETS'!$D20&amp;"|"&amp;'ASSETS'!$E20&amp;"|"&amp;'ASSETS'!$H20),"Open source")))</f>
        <v>Open source</v>
      </c>
      <c r="G20" s="93" t="str">
        <f>IF('ASSETS'!$A20="","",IF(OR(UPPER('ASSETS'!$H20)&lt;&gt;"TRUE",'ASSETS'!$I20=""),"Unavailable",HYPERLINK("http://127.0.0.1:5173/__dev/asset-resolved"&amp;"?assetId="&amp;ENCODEURL('ASSETS'!$A20)&amp;"&amp;sig="&amp;ENCODEURL('ASSETS'!$B20&amp;"|"&amp;'ASSETS'!$C20&amp;"|"&amp;'ASSETS'!$D20&amp;"|"&amp;'ASSETS'!$E20&amp;"|"&amp;'ASSETS'!$H20),"Open resolved")))</f>
        <v>Open resolved</v>
      </c>
    </row>
    <row r="21" ht="86" customHeight="1" spans="1:7" x14ac:dyDescent="0.25">
      <c r="A21" s="90" t="str">
        <f>IF('ASSETS'!$A21="","",HYPERLINK("#'ASSETS'!A21",'ASSETS'!$A21))</f>
        <v>project-4-icon</v>
      </c>
      <c r="B21" s="91" t="str">
        <f>IF('ASSETS'!$A21="","",UPPER('ASSETS'!$B21))</f>
        <v>ICON</v>
      </c>
      <c r="C21" s="92" t="str">
        <f>IF('ASSETS'!$A21="","",IMAGE("http://127.0.0.1:5173/__dev/asset-preview"&amp;"?assetId="&amp;ENCODEURL('ASSETS'!$A21)&amp;"&amp;sig="&amp;ENCODEURL('ASSETS'!$B21&amp;"|"&amp;'ASSETS'!$C21&amp;"|"&amp;'ASSETS'!$D21&amp;"|"&amp;'ASSETS'!$E21&amp;"|"&amp;'ASSETS'!$H21),"Preview"))</f>
        <v>Preview</v>
      </c>
      <c r="D21" s="91" t="str">
        <f>IF('ASSETS'!$A21="","",'ASSETS'!$I21)</f>
        <v>/assets/projects/twitch-icon.webp</v>
      </c>
      <c r="E21" s="91" t="str">
        <f>IF('ASSETS'!$A21="","",'ASSETS'!$L21)</f>
        <v/>
      </c>
      <c r="F21" s="93" t="str">
        <f>IF('ASSETS'!$A21="","",IF(UPPER('ASSETS'!$H21)&lt;&gt;"TRUE","Disabled",HYPERLINK("http://127.0.0.1:5173/__dev/asset-source"&amp;"?assetId="&amp;ENCODEURL('ASSETS'!$A21)&amp;"&amp;sig="&amp;ENCODEURL('ASSETS'!$B21&amp;"|"&amp;'ASSETS'!$C21&amp;"|"&amp;'ASSETS'!$D21&amp;"|"&amp;'ASSETS'!$E21&amp;"|"&amp;'ASSETS'!$H21),"Open source")))</f>
        <v>Open source</v>
      </c>
      <c r="G21" s="93" t="str">
        <f>IF('ASSETS'!$A21="","",IF(OR(UPPER('ASSETS'!$H21)&lt;&gt;"TRUE",'ASSETS'!$I21=""),"Unavailable",HYPERLINK("http://127.0.0.1:5173/__dev/asset-resolved"&amp;"?assetId="&amp;ENCODEURL('ASSETS'!$A21)&amp;"&amp;sig="&amp;ENCODEURL('ASSETS'!$B21&amp;"|"&amp;'ASSETS'!$C21&amp;"|"&amp;'ASSETS'!$D21&amp;"|"&amp;'ASSETS'!$E21&amp;"|"&amp;'ASSETS'!$H21),"Open resolved")))</f>
        <v>Open resolved</v>
      </c>
    </row>
    <row r="22" ht="86" customHeight="1" spans="1:7" x14ac:dyDescent="0.25">
      <c r="A22" s="90" t="str">
        <f>IF('ASSETS'!$A22="","",HYPERLINK("#'ASSETS'!A22",'ASSETS'!$A22))</f>
        <v>project-5-video</v>
      </c>
      <c r="B22" s="91" t="str">
        <f>IF('ASSETS'!$A22="","",UPPER('ASSETS'!$B22))</f>
        <v>VIDEO</v>
      </c>
      <c r="C22" s="92" t="str">
        <f>IF('ASSETS'!$A22="","",IMAGE("http://127.0.0.1:5173/__dev/asset-preview"&amp;"?assetId="&amp;ENCODEURL('ASSETS'!$A22)&amp;"&amp;sig="&amp;ENCODEURL('ASSETS'!$B22&amp;"|"&amp;'ASSETS'!$C22&amp;"|"&amp;'ASSETS'!$D22&amp;"|"&amp;'ASSETS'!$E22&amp;"|"&amp;'ASSETS'!$H22),"Preview"))</f>
        <v>Preview</v>
      </c>
      <c r="D22" s="91" t="str">
        <f>IF('ASSETS'!$A22="","",'ASSETS'!$I22)</f>
        <v>/assets/projects/usb-extraction.mp4</v>
      </c>
      <c r="E22" s="91" t="str">
        <f>IF('ASSETS'!$A22="","",'ASSETS'!$L22)</f>
        <v/>
      </c>
      <c r="F22" s="93" t="str">
        <f>IF('ASSETS'!$A22="","",IF(UPPER('ASSETS'!$H22)&lt;&gt;"TRUE","Disabled",HYPERLINK("http://127.0.0.1:5173/__dev/asset-source"&amp;"?assetId="&amp;ENCODEURL('ASSETS'!$A22)&amp;"&amp;sig="&amp;ENCODEURL('ASSETS'!$B22&amp;"|"&amp;'ASSETS'!$C22&amp;"|"&amp;'ASSETS'!$D22&amp;"|"&amp;'ASSETS'!$E22&amp;"|"&amp;'ASSETS'!$H22),"Open source")))</f>
        <v>Open source</v>
      </c>
      <c r="G22" s="93" t="str">
        <f>IF('ASSETS'!$A22="","",IF(OR(UPPER('ASSETS'!$H22)&lt;&gt;"TRUE",'ASSETS'!$I22=""),"Unavailable",HYPERLINK("http://127.0.0.1:5173/__dev/asset-resolved"&amp;"?assetId="&amp;ENCODEURL('ASSETS'!$A22)&amp;"&amp;sig="&amp;ENCODEURL('ASSETS'!$B22&amp;"|"&amp;'ASSETS'!$C22&amp;"|"&amp;'ASSETS'!$D22&amp;"|"&amp;'ASSETS'!$E22&amp;"|"&amp;'ASSETS'!$H22),"Open resolved")))</f>
        <v>Open resolved</v>
      </c>
    </row>
    <row r="23" ht="86" customHeight="1" spans="1:7" x14ac:dyDescent="0.25">
      <c r="A23" s="90" t="str">
        <f>IF('ASSETS'!$A23="","",HYPERLINK("#'ASSETS'!A23",'ASSETS'!$A23))</f>
        <v>project-5-thumbnail</v>
      </c>
      <c r="B23" s="91" t="str">
        <f>IF('ASSETS'!$A23="","",UPPER('ASSETS'!$B23))</f>
        <v>IMAGE</v>
      </c>
      <c r="C23" s="92" t="str">
        <f>IF('ASSETS'!$A23="","",IMAGE("http://127.0.0.1:5173/__dev/asset-preview"&amp;"?assetId="&amp;ENCODEURL('ASSETS'!$A23)&amp;"&amp;sig="&amp;ENCODEURL('ASSETS'!$B23&amp;"|"&amp;'ASSETS'!$C23&amp;"|"&amp;'ASSETS'!$D23&amp;"|"&amp;'ASSETS'!$E23&amp;"|"&amp;'ASSETS'!$H23),"Preview"))</f>
        <v>Preview</v>
      </c>
      <c r="D23" s="91" t="str">
        <f>IF('ASSETS'!$A23="","",'ASSETS'!$I23)</f>
        <v>/assets/projects/usb-extraction.png</v>
      </c>
      <c r="E23" s="91" t="str">
        <f>IF('ASSETS'!$A23="","",'ASSETS'!$L23)</f>
        <v/>
      </c>
      <c r="F23" s="93" t="str">
        <f>IF('ASSETS'!$A23="","",IF(UPPER('ASSETS'!$H23)&lt;&gt;"TRUE","Disabled",HYPERLINK("http://127.0.0.1:5173/__dev/asset-source"&amp;"?assetId="&amp;ENCODEURL('ASSETS'!$A23)&amp;"&amp;sig="&amp;ENCODEURL('ASSETS'!$B23&amp;"|"&amp;'ASSETS'!$C23&amp;"|"&amp;'ASSETS'!$D23&amp;"|"&amp;'ASSETS'!$E23&amp;"|"&amp;'ASSETS'!$H23),"Open source")))</f>
        <v>Open source</v>
      </c>
      <c r="G23" s="93" t="str">
        <f>IF('ASSETS'!$A23="","",IF(OR(UPPER('ASSETS'!$H23)&lt;&gt;"TRUE",'ASSETS'!$I23=""),"Unavailable",HYPERLINK("http://127.0.0.1:5173/__dev/asset-resolved"&amp;"?assetId="&amp;ENCODEURL('ASSETS'!$A23)&amp;"&amp;sig="&amp;ENCODEURL('ASSETS'!$B23&amp;"|"&amp;'ASSETS'!$C23&amp;"|"&amp;'ASSETS'!$D23&amp;"|"&amp;'ASSETS'!$E23&amp;"|"&amp;'ASSETS'!$H23),"Open resolved")))</f>
        <v>Open resolved</v>
      </c>
    </row>
    <row r="24" ht="86" customHeight="1" spans="1:7" x14ac:dyDescent="0.25">
      <c r="A24" s="90" t="str">
        <f>IF('ASSETS'!$A24="","",HYPERLINK("#'ASSETS'!A24",'ASSETS'!$A24))</f>
        <v>project-5-icon</v>
      </c>
      <c r="B24" s="91" t="str">
        <f>IF('ASSETS'!$A24="","",UPPER('ASSETS'!$B24))</f>
        <v>ICON</v>
      </c>
      <c r="C24" s="92" t="str">
        <f>IF('ASSETS'!$A24="","",IMAGE("http://127.0.0.1:5173/__dev/asset-preview"&amp;"?assetId="&amp;ENCODEURL('ASSETS'!$A24)&amp;"&amp;sig="&amp;ENCODEURL('ASSETS'!$B24&amp;"|"&amp;'ASSETS'!$C24&amp;"|"&amp;'ASSETS'!$D24&amp;"|"&amp;'ASSETS'!$E24&amp;"|"&amp;'ASSETS'!$H24),"Preview"))</f>
        <v>Preview</v>
      </c>
      <c r="D24" s="91" t="str">
        <f>IF('ASSETS'!$A24="","",'ASSETS'!$I24)</f>
        <v>/assets/projects/terminal.ico</v>
      </c>
      <c r="E24" s="91" t="str">
        <f>IF('ASSETS'!$A24="","",'ASSETS'!$L24)</f>
        <v/>
      </c>
      <c r="F24" s="93" t="str">
        <f>IF('ASSETS'!$A24="","",IF(UPPER('ASSETS'!$H24)&lt;&gt;"TRUE","Disabled",HYPERLINK("http://127.0.0.1:5173/__dev/asset-source"&amp;"?assetId="&amp;ENCODEURL('ASSETS'!$A24)&amp;"&amp;sig="&amp;ENCODEURL('ASSETS'!$B24&amp;"|"&amp;'ASSETS'!$C24&amp;"|"&amp;'ASSETS'!$D24&amp;"|"&amp;'ASSETS'!$E24&amp;"|"&amp;'ASSETS'!$H24),"Open source")))</f>
        <v>Open source</v>
      </c>
      <c r="G24" s="93" t="str">
        <f>IF('ASSETS'!$A24="","",IF(OR(UPPER('ASSETS'!$H24)&lt;&gt;"TRUE",'ASSETS'!$I24=""),"Unavailable",HYPERLINK("http://127.0.0.1:5173/__dev/asset-resolved"&amp;"?assetId="&amp;ENCODEURL('ASSETS'!$A24)&amp;"&amp;sig="&amp;ENCODEURL('ASSETS'!$B24&amp;"|"&amp;'ASSETS'!$C24&amp;"|"&amp;'ASSETS'!$D24&amp;"|"&amp;'ASSETS'!$E24&amp;"|"&amp;'ASSETS'!$H24),"Open resolved")))</f>
        <v>Open resolved</v>
      </c>
    </row>
    <row r="25" ht="86" customHeight="1" spans="1:7" x14ac:dyDescent="0.25">
      <c r="A25" s="90" t="str">
        <f>IF('ASSETS'!$A25="","",HYPERLINK("#'ASSETS'!A25",'ASSETS'!$A25))</f>
        <v>testimonial-client3</v>
      </c>
      <c r="B25" s="91" t="str">
        <f>IF('ASSETS'!$A25="","",UPPER('ASSETS'!$B25))</f>
        <v>IMAGE</v>
      </c>
      <c r="C25" s="92" t="str">
        <f>IF('ASSETS'!$A25="","",IMAGE("http://127.0.0.1:5173/__dev/asset-preview"&amp;"?assetId="&amp;ENCODEURL('ASSETS'!$A25)&amp;"&amp;sig="&amp;ENCODEURL('ASSETS'!$B25&amp;"|"&amp;'ASSETS'!$C25&amp;"|"&amp;'ASSETS'!$D25&amp;"|"&amp;'ASSETS'!$E25&amp;"|"&amp;'ASSETS'!$H25),"Preview"))</f>
        <v>Preview</v>
      </c>
      <c r="D25" s="91" t="str">
        <f>IF('ASSETS'!$A25="","",'ASSETS'!$I25)</f>
        <v>/assets/testimonials/client3.png</v>
      </c>
      <c r="E25" s="91" t="str">
        <f>IF('ASSETS'!$A25="","",'ASSETS'!$L25)</f>
        <v/>
      </c>
      <c r="F25" s="93" t="str">
        <f>IF('ASSETS'!$A25="","",IF(UPPER('ASSETS'!$H25)&lt;&gt;"TRUE","Disabled",HYPERLINK("http://127.0.0.1:5173/__dev/asset-source"&amp;"?assetId="&amp;ENCODEURL('ASSETS'!$A25)&amp;"&amp;sig="&amp;ENCODEURL('ASSETS'!$B25&amp;"|"&amp;'ASSETS'!$C25&amp;"|"&amp;'ASSETS'!$D25&amp;"|"&amp;'ASSETS'!$E25&amp;"|"&amp;'ASSETS'!$H25),"Open source")))</f>
        <v>Open source</v>
      </c>
      <c r="G25" s="93" t="str">
        <f>IF('ASSETS'!$A25="","",IF(OR(UPPER('ASSETS'!$H25)&lt;&gt;"TRUE",'ASSETS'!$I25=""),"Unavailable",HYPERLINK("http://127.0.0.1:5173/__dev/asset-resolved"&amp;"?assetId="&amp;ENCODEURL('ASSETS'!$A25)&amp;"&amp;sig="&amp;ENCODEURL('ASSETS'!$B25&amp;"|"&amp;'ASSETS'!$C25&amp;"|"&amp;'ASSETS'!$D25&amp;"|"&amp;'ASSETS'!$E25&amp;"|"&amp;'ASSETS'!$H25),"Open resolved")))</f>
        <v>Open resolved</v>
      </c>
    </row>
    <row r="26" ht="86" customHeight="1" spans="1:7" x14ac:dyDescent="0.25">
      <c r="A26" s="90" t="str">
        <f>IF('ASSETS'!$A26="","",HYPERLINK("#'ASSETS'!A26",'ASSETS'!$A26))</f>
        <v>testimonial-client2</v>
      </c>
      <c r="B26" s="91" t="str">
        <f>IF('ASSETS'!$A26="","",UPPER('ASSETS'!$B26))</f>
        <v>IMAGE</v>
      </c>
      <c r="C26" s="92" t="str">
        <f>IF('ASSETS'!$A26="","",IMAGE("http://127.0.0.1:5173/__dev/asset-preview"&amp;"?assetId="&amp;ENCODEURL('ASSETS'!$A26)&amp;"&amp;sig="&amp;ENCODEURL('ASSETS'!$B26&amp;"|"&amp;'ASSETS'!$C26&amp;"|"&amp;'ASSETS'!$D26&amp;"|"&amp;'ASSETS'!$E26&amp;"|"&amp;'ASSETS'!$H26),"Preview"))</f>
        <v>Preview</v>
      </c>
      <c r="D26" s="91" t="str">
        <f>IF('ASSETS'!$A26="","",'ASSETS'!$I26)</f>
        <v>/assets/testimonials/client2.png</v>
      </c>
      <c r="E26" s="91" t="str">
        <f>IF('ASSETS'!$A26="","",'ASSETS'!$L26)</f>
        <v/>
      </c>
      <c r="F26" s="93" t="str">
        <f>IF('ASSETS'!$A26="","",IF(UPPER('ASSETS'!$H26)&lt;&gt;"TRUE","Disabled",HYPERLINK("http://127.0.0.1:5173/__dev/asset-source"&amp;"?assetId="&amp;ENCODEURL('ASSETS'!$A26)&amp;"&amp;sig="&amp;ENCODEURL('ASSETS'!$B26&amp;"|"&amp;'ASSETS'!$C26&amp;"|"&amp;'ASSETS'!$D26&amp;"|"&amp;'ASSETS'!$E26&amp;"|"&amp;'ASSETS'!$H26),"Open source")))</f>
        <v>Open source</v>
      </c>
      <c r="G26" s="93" t="str">
        <f>IF('ASSETS'!$A26="","",IF(OR(UPPER('ASSETS'!$H26)&lt;&gt;"TRUE",'ASSETS'!$I26=""),"Unavailable",HYPERLINK("http://127.0.0.1:5173/__dev/asset-resolved"&amp;"?assetId="&amp;ENCODEURL('ASSETS'!$A26)&amp;"&amp;sig="&amp;ENCODEURL('ASSETS'!$B26&amp;"|"&amp;'ASSETS'!$C26&amp;"|"&amp;'ASSETS'!$D26&amp;"|"&amp;'ASSETS'!$E26&amp;"|"&amp;'ASSETS'!$H26),"Open resolved")))</f>
        <v>Open resolved</v>
      </c>
    </row>
    <row r="27" ht="86" customHeight="1" spans="1:7" x14ac:dyDescent="0.25">
      <c r="A27" s="90" t="str">
        <f>IF('ASSETS'!$A27="","",HYPERLINK("#'ASSETS'!A27",'ASSETS'!$A27))</f>
        <v>testimonial-client1</v>
      </c>
      <c r="B27" s="91" t="str">
        <f>IF('ASSETS'!$A27="","",UPPER('ASSETS'!$B27))</f>
        <v>IMAGE</v>
      </c>
      <c r="C27" s="92" t="str">
        <f>IF('ASSETS'!$A27="","",IMAGE("http://127.0.0.1:5173/__dev/asset-preview"&amp;"?assetId="&amp;ENCODEURL('ASSETS'!$A27)&amp;"&amp;sig="&amp;ENCODEURL('ASSETS'!$B27&amp;"|"&amp;'ASSETS'!$C27&amp;"|"&amp;'ASSETS'!$D27&amp;"|"&amp;'ASSETS'!$E27&amp;"|"&amp;'ASSETS'!$H27),"Preview"))</f>
        <v>Preview</v>
      </c>
      <c r="D27" s="91" t="str">
        <f>IF('ASSETS'!$A27="","",'ASSETS'!$I27)</f>
        <v>/assets/testimonials/client1.png</v>
      </c>
      <c r="E27" s="91" t="str">
        <f>IF('ASSETS'!$A27="","",'ASSETS'!$L27)</f>
        <v/>
      </c>
      <c r="F27" s="93" t="str">
        <f>IF('ASSETS'!$A27="","",IF(UPPER('ASSETS'!$H27)&lt;&gt;"TRUE","Disabled",HYPERLINK("http://127.0.0.1:5173/__dev/asset-source"&amp;"?assetId="&amp;ENCODEURL('ASSETS'!$A27)&amp;"&amp;sig="&amp;ENCODEURL('ASSETS'!$B27&amp;"|"&amp;'ASSETS'!$C27&amp;"|"&amp;'ASSETS'!$D27&amp;"|"&amp;'ASSETS'!$E27&amp;"|"&amp;'ASSETS'!$H27),"Open source")))</f>
        <v>Open source</v>
      </c>
      <c r="G27" s="93" t="str">
        <f>IF('ASSETS'!$A27="","",IF(OR(UPPER('ASSETS'!$H27)&lt;&gt;"TRUE",'ASSETS'!$I27=""),"Unavailable",HYPERLINK("http://127.0.0.1:5173/__dev/asset-resolved"&amp;"?assetId="&amp;ENCODEURL('ASSETS'!$A27)&amp;"&amp;sig="&amp;ENCODEURL('ASSETS'!$B27&amp;"|"&amp;'ASSETS'!$C27&amp;"|"&amp;'ASSETS'!$D27&amp;"|"&amp;'ASSETS'!$E27&amp;"|"&amp;'ASSETS'!$H27),"Open resolved")))</f>
        <v>Open resolved</v>
      </c>
    </row>
    <row r="28" ht="86" customHeight="1" spans="1:7" x14ac:dyDescent="0.25">
      <c r="A28" s="90" t="str">
        <f>IF('ASSETS'!$A28="","",HYPERLINK("#'ASSETS'!A28",'ASSETS'!$A28))</f>
        <v>testimonial-client4</v>
      </c>
      <c r="B28" s="91" t="str">
        <f>IF('ASSETS'!$A28="","",UPPER('ASSETS'!$B28))</f>
        <v>IMAGE</v>
      </c>
      <c r="C28" s="92" t="str">
        <f>IF('ASSETS'!$A28="","",IMAGE("http://127.0.0.1:5173/__dev/asset-preview"&amp;"?assetId="&amp;ENCODEURL('ASSETS'!$A28)&amp;"&amp;sig="&amp;ENCODEURL('ASSETS'!$B28&amp;"|"&amp;'ASSETS'!$C28&amp;"|"&amp;'ASSETS'!$D28&amp;"|"&amp;'ASSETS'!$E28&amp;"|"&amp;'ASSETS'!$H28),"Preview"))</f>
        <v>Preview</v>
      </c>
      <c r="D28" s="91" t="str">
        <f>IF('ASSETS'!$A28="","",'ASSETS'!$I28)</f>
        <v>/assets/testimonials/client4.png</v>
      </c>
      <c r="E28" s="91" t="str">
        <f>IF('ASSETS'!$A28="","",'ASSETS'!$L28)</f>
        <v/>
      </c>
      <c r="F28" s="93" t="str">
        <f>IF('ASSETS'!$A28="","",IF(UPPER('ASSETS'!$H28)&lt;&gt;"TRUE","Disabled",HYPERLINK("http://127.0.0.1:5173/__dev/asset-source"&amp;"?assetId="&amp;ENCODEURL('ASSETS'!$A28)&amp;"&amp;sig="&amp;ENCODEURL('ASSETS'!$B28&amp;"|"&amp;'ASSETS'!$C28&amp;"|"&amp;'ASSETS'!$D28&amp;"|"&amp;'ASSETS'!$E28&amp;"|"&amp;'ASSETS'!$H28),"Open source")))</f>
        <v>Open source</v>
      </c>
      <c r="G28" s="93" t="str">
        <f>IF('ASSETS'!$A28="","",IF(OR(UPPER('ASSETS'!$H28)&lt;&gt;"TRUE",'ASSETS'!$I28=""),"Unavailable",HYPERLINK("http://127.0.0.1:5173/__dev/asset-resolved"&amp;"?assetId="&amp;ENCODEURL('ASSETS'!$A28)&amp;"&amp;sig="&amp;ENCODEURL('ASSETS'!$B28&amp;"|"&amp;'ASSETS'!$C28&amp;"|"&amp;'ASSETS'!$D28&amp;"|"&amp;'ASSETS'!$E28&amp;"|"&amp;'ASSETS'!$H28),"Open resolved")))</f>
        <v>Open resolved</v>
      </c>
    </row>
    <row r="29" ht="86" customHeight="1" spans="1:7" x14ac:dyDescent="0.25">
      <c r="A29" s="90" t="str">
        <f>IF('ASSETS'!$A29="","",HYPERLINK("#'ASSETS'!A29",'ASSETS'!$A29))</f>
        <v>testimonial-client5</v>
      </c>
      <c r="B29" s="91" t="str">
        <f>IF('ASSETS'!$A29="","",UPPER('ASSETS'!$B29))</f>
        <v>IMAGE</v>
      </c>
      <c r="C29" s="92" t="str">
        <f>IF('ASSETS'!$A29="","",IMAGE("http://127.0.0.1:5173/__dev/asset-preview"&amp;"?assetId="&amp;ENCODEURL('ASSETS'!$A29)&amp;"&amp;sig="&amp;ENCODEURL('ASSETS'!$B29&amp;"|"&amp;'ASSETS'!$C29&amp;"|"&amp;'ASSETS'!$D29&amp;"|"&amp;'ASSETS'!$E29&amp;"|"&amp;'ASSETS'!$H29),"Preview"))</f>
        <v>Preview</v>
      </c>
      <c r="D29" s="91" t="str">
        <f>IF('ASSETS'!$A29="","",'ASSETS'!$I29)</f>
        <v>/assets/testimonials/client5.jpg</v>
      </c>
      <c r="E29" s="91" t="str">
        <f>IF('ASSETS'!$A29="","",'ASSETS'!$L29)</f>
        <v/>
      </c>
      <c r="F29" s="93" t="str">
        <f>IF('ASSETS'!$A29="","",IF(UPPER('ASSETS'!$H29)&lt;&gt;"TRUE","Disabled",HYPERLINK("http://127.0.0.1:5173/__dev/asset-source"&amp;"?assetId="&amp;ENCODEURL('ASSETS'!$A29)&amp;"&amp;sig="&amp;ENCODEURL('ASSETS'!$B29&amp;"|"&amp;'ASSETS'!$C29&amp;"|"&amp;'ASSETS'!$D29&amp;"|"&amp;'ASSETS'!$E29&amp;"|"&amp;'ASSETS'!$H29),"Open source")))</f>
        <v>Open source</v>
      </c>
      <c r="G29" s="93" t="str">
        <f>IF('ASSETS'!$A29="","",IF(OR(UPPER('ASSETS'!$H29)&lt;&gt;"TRUE",'ASSETS'!$I29=""),"Unavailable",HYPERLINK("http://127.0.0.1:5173/__dev/asset-resolved"&amp;"?assetId="&amp;ENCODEURL('ASSETS'!$A29)&amp;"&amp;sig="&amp;ENCODEURL('ASSETS'!$B29&amp;"|"&amp;'ASSETS'!$C29&amp;"|"&amp;'ASSETS'!$D29&amp;"|"&amp;'ASSETS'!$E29&amp;"|"&amp;'ASSETS'!$H29),"Open resolved")))</f>
        <v>Open resolved</v>
      </c>
    </row>
    <row r="30" ht="86" customHeight="1" spans="1:7" x14ac:dyDescent="0.25">
      <c r="A30" s="90" t="str">
        <f>IF('ASSETS'!$A30="","",HYPERLINK("#'ASSETS'!A30",'ASSETS'!$A30))</f>
        <v>testimonial-client6</v>
      </c>
      <c r="B30" s="91" t="str">
        <f>IF('ASSETS'!$A30="","",UPPER('ASSETS'!$B30))</f>
        <v>IMAGE</v>
      </c>
      <c r="C30" s="92" t="str">
        <f>IF('ASSETS'!$A30="","",IMAGE("http://127.0.0.1:5173/__dev/asset-preview"&amp;"?assetId="&amp;ENCODEURL('ASSETS'!$A30)&amp;"&amp;sig="&amp;ENCODEURL('ASSETS'!$B30&amp;"|"&amp;'ASSETS'!$C30&amp;"|"&amp;'ASSETS'!$D30&amp;"|"&amp;'ASSETS'!$E30&amp;"|"&amp;'ASSETS'!$H30),"Preview"))</f>
        <v>Preview</v>
      </c>
      <c r="D30" s="91" t="str">
        <f>IF('ASSETS'!$A30="","",'ASSETS'!$I30)</f>
        <v>/assets/testimonials/client6.jpg</v>
      </c>
      <c r="E30" s="91" t="str">
        <f>IF('ASSETS'!$A30="","",'ASSETS'!$L30)</f>
        <v/>
      </c>
      <c r="F30" s="93" t="str">
        <f>IF('ASSETS'!$A30="","",IF(UPPER('ASSETS'!$H30)&lt;&gt;"TRUE","Disabled",HYPERLINK("http://127.0.0.1:5173/__dev/asset-source"&amp;"?assetId="&amp;ENCODEURL('ASSETS'!$A30)&amp;"&amp;sig="&amp;ENCODEURL('ASSETS'!$B30&amp;"|"&amp;'ASSETS'!$C30&amp;"|"&amp;'ASSETS'!$D30&amp;"|"&amp;'ASSETS'!$E30&amp;"|"&amp;'ASSETS'!$H30),"Open source")))</f>
        <v>Open source</v>
      </c>
      <c r="G30" s="93" t="str">
        <f>IF('ASSETS'!$A30="","",IF(OR(UPPER('ASSETS'!$H30)&lt;&gt;"TRUE",'ASSETS'!$I30=""),"Unavailable",HYPERLINK("http://127.0.0.1:5173/__dev/asset-resolved"&amp;"?assetId="&amp;ENCODEURL('ASSETS'!$A30)&amp;"&amp;sig="&amp;ENCODEURL('ASSETS'!$B30&amp;"|"&amp;'ASSETS'!$C30&amp;"|"&amp;'ASSETS'!$D30&amp;"|"&amp;'ASSETS'!$E30&amp;"|"&amp;'ASSETS'!$H30),"Open resolved")))</f>
        <v>Open resolved</v>
      </c>
    </row>
    <row r="31" ht="86" customHeight="1" spans="1:7" x14ac:dyDescent="0.25">
      <c r="A31" s="90" t="str">
        <f>IF('ASSETS'!$A31="","",HYPERLINK("#'ASSETS'!A31",'ASSETS'!$A31))</f>
        <v>testimonial-client7</v>
      </c>
      <c r="B31" s="91" t="str">
        <f>IF('ASSETS'!$A31="","",UPPER('ASSETS'!$B31))</f>
        <v>IMAGE</v>
      </c>
      <c r="C31" s="92" t="str">
        <f>IF('ASSETS'!$A31="","",IMAGE("http://127.0.0.1:5173/__dev/asset-preview"&amp;"?assetId="&amp;ENCODEURL('ASSETS'!$A31)&amp;"&amp;sig="&amp;ENCODEURL('ASSETS'!$B31&amp;"|"&amp;'ASSETS'!$C31&amp;"|"&amp;'ASSETS'!$D31&amp;"|"&amp;'ASSETS'!$E31&amp;"|"&amp;'ASSETS'!$H31),"Preview"))</f>
        <v>Preview</v>
      </c>
      <c r="D31" s="91" t="str">
        <f>IF('ASSETS'!$A31="","",'ASSETS'!$I31)</f>
        <v>/assets/testimonials/client7.jpg</v>
      </c>
      <c r="E31" s="91" t="str">
        <f>IF('ASSETS'!$A31="","",'ASSETS'!$L31)</f>
        <v/>
      </c>
      <c r="F31" s="93" t="str">
        <f>IF('ASSETS'!$A31="","",IF(UPPER('ASSETS'!$H31)&lt;&gt;"TRUE","Disabled",HYPERLINK("http://127.0.0.1:5173/__dev/asset-source"&amp;"?assetId="&amp;ENCODEURL('ASSETS'!$A31)&amp;"&amp;sig="&amp;ENCODEURL('ASSETS'!$B31&amp;"|"&amp;'ASSETS'!$C31&amp;"|"&amp;'ASSETS'!$D31&amp;"|"&amp;'ASSETS'!$E31&amp;"|"&amp;'ASSETS'!$H31),"Open source")))</f>
        <v>Open source</v>
      </c>
      <c r="G31" s="93" t="str">
        <f>IF('ASSETS'!$A31="","",IF(OR(UPPER('ASSETS'!$H31)&lt;&gt;"TRUE",'ASSETS'!$I31=""),"Unavailable",HYPERLINK("http://127.0.0.1:5173/__dev/asset-resolved"&amp;"?assetId="&amp;ENCODEURL('ASSETS'!$A31)&amp;"&amp;sig="&amp;ENCODEURL('ASSETS'!$B31&amp;"|"&amp;'ASSETS'!$C31&amp;"|"&amp;'ASSETS'!$D31&amp;"|"&amp;'ASSETS'!$E31&amp;"|"&amp;'ASSETS'!$H31),"Open resolved")))</f>
        <v>Open resolved</v>
      </c>
    </row>
    <row r="32" ht="86" customHeight="1" spans="1:7" x14ac:dyDescent="0.25">
      <c r="A32" s="90" t="str">
        <f>IF('ASSETS'!$A32="","",HYPERLINK("#'ASSETS'!A32",'ASSETS'!$A32))</f>
        <v>testimonial-client8</v>
      </c>
      <c r="B32" s="91" t="str">
        <f>IF('ASSETS'!$A32="","",UPPER('ASSETS'!$B32))</f>
        <v>IMAGE</v>
      </c>
      <c r="C32" s="92" t="str">
        <f>IF('ASSETS'!$A32="","",IMAGE("http://127.0.0.1:5173/__dev/asset-preview"&amp;"?assetId="&amp;ENCODEURL('ASSETS'!$A32)&amp;"&amp;sig="&amp;ENCODEURL('ASSETS'!$B32&amp;"|"&amp;'ASSETS'!$C32&amp;"|"&amp;'ASSETS'!$D32&amp;"|"&amp;'ASSETS'!$E32&amp;"|"&amp;'ASSETS'!$H32),"Preview"))</f>
        <v>Preview</v>
      </c>
      <c r="D32" s="91" t="str">
        <f>IF('ASSETS'!$A32="","",'ASSETS'!$I32)</f>
        <v>/assets/testimonials/client8.jpg</v>
      </c>
      <c r="E32" s="91" t="str">
        <f>IF('ASSETS'!$A32="","",'ASSETS'!$L32)</f>
        <v/>
      </c>
      <c r="F32" s="93" t="str">
        <f>IF('ASSETS'!$A32="","",IF(UPPER('ASSETS'!$H32)&lt;&gt;"TRUE","Disabled",HYPERLINK("http://127.0.0.1:5173/__dev/asset-source"&amp;"?assetId="&amp;ENCODEURL('ASSETS'!$A32)&amp;"&amp;sig="&amp;ENCODEURL('ASSETS'!$B32&amp;"|"&amp;'ASSETS'!$C32&amp;"|"&amp;'ASSETS'!$D32&amp;"|"&amp;'ASSETS'!$E32&amp;"|"&amp;'ASSETS'!$H32),"Open source")))</f>
        <v>Open source</v>
      </c>
      <c r="G32" s="93" t="str">
        <f>IF('ASSETS'!$A32="","",IF(OR(UPPER('ASSETS'!$H32)&lt;&gt;"TRUE",'ASSETS'!$I32=""),"Unavailable",HYPERLINK("http://127.0.0.1:5173/__dev/asset-resolved"&amp;"?assetId="&amp;ENCODEURL('ASSETS'!$A32)&amp;"&amp;sig="&amp;ENCODEURL('ASSETS'!$B32&amp;"|"&amp;'ASSETS'!$C32&amp;"|"&amp;'ASSETS'!$D32&amp;"|"&amp;'ASSETS'!$E32&amp;"|"&amp;'ASSETS'!$H32),"Open resolved")))</f>
        <v>Open resolved</v>
      </c>
    </row>
    <row r="33" ht="86" customHeight="1" spans="1:7" x14ac:dyDescent="0.25">
      <c r="A33" s="90" t="str">
        <f>IF('ASSETS'!$A33="","",HYPERLINK("#'ASSETS'!A33",'ASSETS'!$A33))</f>
        <v>testimonial-client9</v>
      </c>
      <c r="B33" s="91" t="str">
        <f>IF('ASSETS'!$A33="","",UPPER('ASSETS'!$B33))</f>
        <v>IMAGE</v>
      </c>
      <c r="C33" s="92" t="str">
        <f>IF('ASSETS'!$A33="","",IMAGE("http://127.0.0.1:5173/__dev/asset-preview"&amp;"?assetId="&amp;ENCODEURL('ASSETS'!$A33)&amp;"&amp;sig="&amp;ENCODEURL('ASSETS'!$B33&amp;"|"&amp;'ASSETS'!$C33&amp;"|"&amp;'ASSETS'!$D33&amp;"|"&amp;'ASSETS'!$E33&amp;"|"&amp;'ASSETS'!$H33),"Preview"))</f>
        <v>Preview</v>
      </c>
      <c r="D33" s="91" t="str">
        <f>IF('ASSETS'!$A33="","",'ASSETS'!$I33)</f>
        <v>/assets/testimonials/client9.jpg</v>
      </c>
      <c r="E33" s="91" t="str">
        <f>IF('ASSETS'!$A33="","",'ASSETS'!$L33)</f>
        <v/>
      </c>
      <c r="F33" s="93" t="str">
        <f>IF('ASSETS'!$A33="","",IF(UPPER('ASSETS'!$H33)&lt;&gt;"TRUE","Disabled",HYPERLINK("http://127.0.0.1:5173/__dev/asset-source"&amp;"?assetId="&amp;ENCODEURL('ASSETS'!$A33)&amp;"&amp;sig="&amp;ENCODEURL('ASSETS'!$B33&amp;"|"&amp;'ASSETS'!$C33&amp;"|"&amp;'ASSETS'!$D33&amp;"|"&amp;'ASSETS'!$E33&amp;"|"&amp;'ASSETS'!$H33),"Open source")))</f>
        <v>Open source</v>
      </c>
      <c r="G33" s="93" t="str">
        <f>IF('ASSETS'!$A33="","",IF(OR(UPPER('ASSETS'!$H33)&lt;&gt;"TRUE",'ASSETS'!$I33=""),"Unavailable",HYPERLINK("http://127.0.0.1:5173/__dev/asset-resolved"&amp;"?assetId="&amp;ENCODEURL('ASSETS'!$A33)&amp;"&amp;sig="&amp;ENCODEURL('ASSETS'!$B33&amp;"|"&amp;'ASSETS'!$C33&amp;"|"&amp;'ASSETS'!$D33&amp;"|"&amp;'ASSETS'!$E33&amp;"|"&amp;'ASSETS'!$H33),"Open resolved")))</f>
        <v>Open resolved</v>
      </c>
    </row>
    <row r="34" ht="86" customHeight="1" spans="1:7" x14ac:dyDescent="0.25">
      <c r="A34" s="90" t="str">
        <f>IF('ASSETS'!$A34="","",HYPERLINK("#'ASSETS'!A34",'ASSETS'!$A34))</f>
        <v>testimonial-client10</v>
      </c>
      <c r="B34" s="91" t="str">
        <f>IF('ASSETS'!$A34="","",UPPER('ASSETS'!$B34))</f>
        <v>IMAGE</v>
      </c>
      <c r="C34" s="92" t="str">
        <f>IF('ASSETS'!$A34="","",IMAGE("http://127.0.0.1:5173/__dev/asset-preview"&amp;"?assetId="&amp;ENCODEURL('ASSETS'!$A34)&amp;"&amp;sig="&amp;ENCODEURL('ASSETS'!$B34&amp;"|"&amp;'ASSETS'!$C34&amp;"|"&amp;'ASSETS'!$D34&amp;"|"&amp;'ASSETS'!$E34&amp;"|"&amp;'ASSETS'!$H34),"Preview"))</f>
        <v>Preview</v>
      </c>
      <c r="D34" s="91" t="str">
        <f>IF('ASSETS'!$A34="","",'ASSETS'!$I34)</f>
        <v>/assets/testimonials/client10.jpg</v>
      </c>
      <c r="E34" s="91" t="str">
        <f>IF('ASSETS'!$A34="","",'ASSETS'!$L34)</f>
        <v/>
      </c>
      <c r="F34" s="93" t="str">
        <f>IF('ASSETS'!$A34="","",IF(UPPER('ASSETS'!$H34)&lt;&gt;"TRUE","Disabled",HYPERLINK("http://127.0.0.1:5173/__dev/asset-source"&amp;"?assetId="&amp;ENCODEURL('ASSETS'!$A34)&amp;"&amp;sig="&amp;ENCODEURL('ASSETS'!$B34&amp;"|"&amp;'ASSETS'!$C34&amp;"|"&amp;'ASSETS'!$D34&amp;"|"&amp;'ASSETS'!$E34&amp;"|"&amp;'ASSETS'!$H34),"Open source")))</f>
        <v>Open source</v>
      </c>
      <c r="G34" s="93" t="str">
        <f>IF('ASSETS'!$A34="","",IF(OR(UPPER('ASSETS'!$H34)&lt;&gt;"TRUE",'ASSETS'!$I34=""),"Unavailable",HYPERLINK("http://127.0.0.1:5173/__dev/asset-resolved"&amp;"?assetId="&amp;ENCODEURL('ASSETS'!$A34)&amp;"&amp;sig="&amp;ENCODEURL('ASSETS'!$B34&amp;"|"&amp;'ASSETS'!$C34&amp;"|"&amp;'ASSETS'!$D34&amp;"|"&amp;'ASSETS'!$E34&amp;"|"&amp;'ASSETS'!$H34),"Open resolved")))</f>
        <v>Open resolved</v>
      </c>
    </row>
    <row r="35" ht="86" customHeight="1" spans="1:7" x14ac:dyDescent="0.25">
      <c r="A35" s="90" t="str">
        <f>IF('ASSETS'!$A35="","",HYPERLINK("#'ASSETS'!A35",'ASSETS'!$A35))</f>
        <v>testimonial-client11</v>
      </c>
      <c r="B35" s="91" t="str">
        <f>IF('ASSETS'!$A35="","",UPPER('ASSETS'!$B35))</f>
        <v>IMAGE</v>
      </c>
      <c r="C35" s="92" t="str">
        <f>IF('ASSETS'!$A35="","",IMAGE("http://127.0.0.1:5173/__dev/asset-preview"&amp;"?assetId="&amp;ENCODEURL('ASSETS'!$A35)&amp;"&amp;sig="&amp;ENCODEURL('ASSETS'!$B35&amp;"|"&amp;'ASSETS'!$C35&amp;"|"&amp;'ASSETS'!$D35&amp;"|"&amp;'ASSETS'!$E35&amp;"|"&amp;'ASSETS'!$H35),"Preview"))</f>
        <v>Preview</v>
      </c>
      <c r="D35" s="91" t="str">
        <f>IF('ASSETS'!$A35="","",'ASSETS'!$I35)</f>
        <v>/assets/testimonials/client11.jpg</v>
      </c>
      <c r="E35" s="91" t="str">
        <f>IF('ASSETS'!$A35="","",'ASSETS'!$L35)</f>
        <v/>
      </c>
      <c r="F35" s="93" t="str">
        <f>IF('ASSETS'!$A35="","",IF(UPPER('ASSETS'!$H35)&lt;&gt;"TRUE","Disabled",HYPERLINK("http://127.0.0.1:5173/__dev/asset-source"&amp;"?assetId="&amp;ENCODEURL('ASSETS'!$A35)&amp;"&amp;sig="&amp;ENCODEURL('ASSETS'!$B35&amp;"|"&amp;'ASSETS'!$C35&amp;"|"&amp;'ASSETS'!$D35&amp;"|"&amp;'ASSETS'!$E35&amp;"|"&amp;'ASSETS'!$H35),"Open source")))</f>
        <v>Open source</v>
      </c>
      <c r="G35" s="93" t="str">
        <f>IF('ASSETS'!$A35="","",IF(OR(UPPER('ASSETS'!$H35)&lt;&gt;"TRUE",'ASSETS'!$I35=""),"Unavailable",HYPERLINK("http://127.0.0.1:5173/__dev/asset-resolved"&amp;"?assetId="&amp;ENCODEURL('ASSETS'!$A35)&amp;"&amp;sig="&amp;ENCODEURL('ASSETS'!$B35&amp;"|"&amp;'ASSETS'!$C35&amp;"|"&amp;'ASSETS'!$D35&amp;"|"&amp;'ASSETS'!$E35&amp;"|"&amp;'ASSETS'!$H35),"Open resolved")))</f>
        <v>Open resolved</v>
      </c>
    </row>
    <row r="36" ht="86" customHeight="1" spans="1:7" x14ac:dyDescent="0.25">
      <c r="A36" s="90" t="str">
        <f>IF('ASSETS'!$A36="","",HYPERLINK("#'ASSETS'!A36",'ASSETS'!$A36))</f>
        <v>testimonial-pack-leaf</v>
      </c>
      <c r="B36" s="91" t="str">
        <f>IF('ASSETS'!$A36="","",UPPER('ASSETS'!$B36))</f>
        <v>IMAGE</v>
      </c>
      <c r="C36" s="92" t="str">
        <f>IF('ASSETS'!$A36="","",IMAGE("http://127.0.0.1:5173/__dev/asset-preview"&amp;"?assetId="&amp;ENCODEURL('ASSETS'!$A36)&amp;"&amp;sig="&amp;ENCODEURL('ASSETS'!$B36&amp;"|"&amp;'ASSETS'!$C36&amp;"|"&amp;'ASSETS'!$D36&amp;"|"&amp;'ASSETS'!$E36&amp;"|"&amp;'ASSETS'!$H36),"Preview"))</f>
        <v>Preview</v>
      </c>
      <c r="D36" s="91" t="str">
        <f>IF('ASSETS'!$A36="","",'ASSETS'!$I36)</f>
        <v>/assets/testimonials/pack-leaf.svg</v>
      </c>
      <c r="E36" s="91" t="str">
        <f>IF('ASSETS'!$A36="","",'ASSETS'!$L36)</f>
        <v/>
      </c>
      <c r="F36" s="93" t="str">
        <f>IF('ASSETS'!$A36="","",IF(UPPER('ASSETS'!$H36)&lt;&gt;"TRUE","Disabled",HYPERLINK("http://127.0.0.1:5173/__dev/asset-source"&amp;"?assetId="&amp;ENCODEURL('ASSETS'!$A36)&amp;"&amp;sig="&amp;ENCODEURL('ASSETS'!$B36&amp;"|"&amp;'ASSETS'!$C36&amp;"|"&amp;'ASSETS'!$D36&amp;"|"&amp;'ASSETS'!$E36&amp;"|"&amp;'ASSETS'!$H36),"Open source")))</f>
        <v>Open source</v>
      </c>
      <c r="G36" s="93" t="str">
        <f>IF('ASSETS'!$A36="","",IF(OR(UPPER('ASSETS'!$H36)&lt;&gt;"TRUE",'ASSETS'!$I36=""),"Unavailable",HYPERLINK("http://127.0.0.1:5173/__dev/asset-resolved"&amp;"?assetId="&amp;ENCODEURL('ASSETS'!$A36)&amp;"&amp;sig="&amp;ENCODEURL('ASSETS'!$B36&amp;"|"&amp;'ASSETS'!$C36&amp;"|"&amp;'ASSETS'!$D36&amp;"|"&amp;'ASSETS'!$E36&amp;"|"&amp;'ASSETS'!$H36),"Open resolved")))</f>
        <v>Open resolved</v>
      </c>
    </row>
    <row r="37" ht="86" customHeight="1" spans="1:7" x14ac:dyDescent="0.25">
      <c r="A37" s="90" t="str">
        <f>IF('ASSETS'!$A37="","",HYPERLINK("#'ASSETS'!A37",'ASSETS'!$A37))</f>
        <v>testimonial-pack-av</v>
      </c>
      <c r="B37" s="91" t="str">
        <f>IF('ASSETS'!$A37="","",UPPER('ASSETS'!$B37))</f>
        <v>IMAGE</v>
      </c>
      <c r="C37" s="92" t="str">
        <f>IF('ASSETS'!$A37="","",IMAGE("http://127.0.0.1:5173/__dev/asset-preview"&amp;"?assetId="&amp;ENCODEURL('ASSETS'!$A37)&amp;"&amp;sig="&amp;ENCODEURL('ASSETS'!$B37&amp;"|"&amp;'ASSETS'!$C37&amp;"|"&amp;'ASSETS'!$D37&amp;"|"&amp;'ASSETS'!$E37&amp;"|"&amp;'ASSETS'!$H37),"Preview"))</f>
        <v>Preview</v>
      </c>
      <c r="D37" s="91" t="str">
        <f>IF('ASSETS'!$A37="","",'ASSETS'!$I37)</f>
        <v>/assets/testimonials/pack-av.svg</v>
      </c>
      <c r="E37" s="91" t="str">
        <f>IF('ASSETS'!$A37="","",'ASSETS'!$L37)</f>
        <v/>
      </c>
      <c r="F37" s="93" t="str">
        <f>IF('ASSETS'!$A37="","",IF(UPPER('ASSETS'!$H37)&lt;&gt;"TRUE","Disabled",HYPERLINK("http://127.0.0.1:5173/__dev/asset-source"&amp;"?assetId="&amp;ENCODEURL('ASSETS'!$A37)&amp;"&amp;sig="&amp;ENCODEURL('ASSETS'!$B37&amp;"|"&amp;'ASSETS'!$C37&amp;"|"&amp;'ASSETS'!$D37&amp;"|"&amp;'ASSETS'!$E37&amp;"|"&amp;'ASSETS'!$H37),"Open source")))</f>
        <v>Open source</v>
      </c>
      <c r="G37" s="93" t="str">
        <f>IF('ASSETS'!$A37="","",IF(OR(UPPER('ASSETS'!$H37)&lt;&gt;"TRUE",'ASSETS'!$I37=""),"Unavailable",HYPERLINK("http://127.0.0.1:5173/__dev/asset-resolved"&amp;"?assetId="&amp;ENCODEURL('ASSETS'!$A37)&amp;"&amp;sig="&amp;ENCODEURL('ASSETS'!$B37&amp;"|"&amp;'ASSETS'!$C37&amp;"|"&amp;'ASSETS'!$D37&amp;"|"&amp;'ASSETS'!$E37&amp;"|"&amp;'ASSETS'!$H37),"Open resolved")))</f>
        <v>Open resolved</v>
      </c>
    </row>
    <row r="38" ht="86" customHeight="1" spans="1:7" x14ac:dyDescent="0.25">
      <c r="A38" s="90" t="str">
        <f>IF('ASSETS'!$A38="","",HYPERLINK("#'ASSETS'!A38",'ASSETS'!$A38))</f>
        <v>testimonial-pack-signature</v>
      </c>
      <c r="B38" s="91" t="str">
        <f>IF('ASSETS'!$A38="","",UPPER('ASSETS'!$B38))</f>
        <v>IMAGE</v>
      </c>
      <c r="C38" s="92" t="str">
        <f>IF('ASSETS'!$A38="","",IMAGE("http://127.0.0.1:5173/__dev/asset-preview"&amp;"?assetId="&amp;ENCODEURL('ASSETS'!$A38)&amp;"&amp;sig="&amp;ENCODEURL('ASSETS'!$B38&amp;"|"&amp;'ASSETS'!$C38&amp;"|"&amp;'ASSETS'!$D38&amp;"|"&amp;'ASSETS'!$E38&amp;"|"&amp;'ASSETS'!$H38),"Preview"))</f>
        <v>Preview</v>
      </c>
      <c r="D38" s="91" t="str">
        <f>IF('ASSETS'!$A38="","",'ASSETS'!$I38)</f>
        <v>/assets/testimonials/pack-signature-v2.svg</v>
      </c>
      <c r="E38" s="91" t="str">
        <f>IF('ASSETS'!$A38="","",'ASSETS'!$L38)</f>
        <v/>
      </c>
      <c r="F38" s="93" t="str">
        <f>IF('ASSETS'!$A38="","",IF(UPPER('ASSETS'!$H38)&lt;&gt;"TRUE","Disabled",HYPERLINK("http://127.0.0.1:5173/__dev/asset-source"&amp;"?assetId="&amp;ENCODEURL('ASSETS'!$A38)&amp;"&amp;sig="&amp;ENCODEURL('ASSETS'!$B38&amp;"|"&amp;'ASSETS'!$C38&amp;"|"&amp;'ASSETS'!$D38&amp;"|"&amp;'ASSETS'!$E38&amp;"|"&amp;'ASSETS'!$H38),"Open source")))</f>
        <v>Open source</v>
      </c>
      <c r="G38" s="93" t="str">
        <f>IF('ASSETS'!$A38="","",IF(OR(UPPER('ASSETS'!$H38)&lt;&gt;"TRUE",'ASSETS'!$I38=""),"Unavailable",HYPERLINK("http://127.0.0.1:5173/__dev/asset-resolved"&amp;"?assetId="&amp;ENCODEURL('ASSETS'!$A38)&amp;"&amp;sig="&amp;ENCODEURL('ASSETS'!$B38&amp;"|"&amp;'ASSETS'!$C38&amp;"|"&amp;'ASSETS'!$D38&amp;"|"&amp;'ASSETS'!$E38&amp;"|"&amp;'ASSETS'!$H38),"Open resolved")))</f>
        <v>Open resolved</v>
      </c>
    </row>
    <row r="39" ht="86" customHeight="1" spans="1:7" x14ac:dyDescent="0.25">
      <c r="A39" s="90" t="str">
        <f>IF('ASSETS'!$A39="","",HYPERLINK("#'ASSETS'!A39",'ASSETS'!$A39))</f>
        <v>testimonial-client12</v>
      </c>
      <c r="B39" s="91" t="str">
        <f>IF('ASSETS'!$A39="","",UPPER('ASSETS'!$B39))</f>
        <v>IMAGE</v>
      </c>
      <c r="C39" s="92" t="str">
        <f>IF('ASSETS'!$A39="","",IMAGE("http://127.0.0.1:5173/__dev/asset-preview"&amp;"?assetId="&amp;ENCODEURL('ASSETS'!$A39)&amp;"&amp;sig="&amp;ENCODEURL('ASSETS'!$B39&amp;"|"&amp;'ASSETS'!$C39&amp;"|"&amp;'ASSETS'!$D39&amp;"|"&amp;'ASSETS'!$E39&amp;"|"&amp;'ASSETS'!$H39),"Preview"))</f>
        <v>Preview</v>
      </c>
      <c r="D39" s="91" t="str">
        <f>IF('ASSETS'!$A39="","",'ASSETS'!$I39)</f>
        <v>/assets/testimonials/client12.jpg</v>
      </c>
      <c r="E39" s="91" t="str">
        <f>IF('ASSETS'!$A39="","",'ASSETS'!$L39)</f>
        <v/>
      </c>
      <c r="F39" s="93" t="str">
        <f>IF('ASSETS'!$A39="","",IF(UPPER('ASSETS'!$H39)&lt;&gt;"TRUE","Disabled",HYPERLINK("http://127.0.0.1:5173/__dev/asset-source"&amp;"?assetId="&amp;ENCODEURL('ASSETS'!$A39)&amp;"&amp;sig="&amp;ENCODEURL('ASSETS'!$B39&amp;"|"&amp;'ASSETS'!$C39&amp;"|"&amp;'ASSETS'!$D39&amp;"|"&amp;'ASSETS'!$E39&amp;"|"&amp;'ASSETS'!$H39),"Open source")))</f>
        <v>Open source</v>
      </c>
      <c r="G39" s="93" t="str">
        <f>IF('ASSETS'!$A39="","",IF(OR(UPPER('ASSETS'!$H39)&lt;&gt;"TRUE",'ASSETS'!$I39=""),"Unavailable",HYPERLINK("http://127.0.0.1:5173/__dev/asset-resolved"&amp;"?assetId="&amp;ENCODEURL('ASSETS'!$A39)&amp;"&amp;sig="&amp;ENCODEURL('ASSETS'!$B39&amp;"|"&amp;'ASSETS'!$C39&amp;"|"&amp;'ASSETS'!$D39&amp;"|"&amp;'ASSETS'!$E39&amp;"|"&amp;'ASSETS'!$H39),"Open resolved")))</f>
        <v>Open resolved</v>
      </c>
    </row>
    <row r="40" ht="86" customHeight="1" spans="1:7" x14ac:dyDescent="0.25">
      <c r="A40" s="90" t="str">
        <f>IF('ASSETS'!$A40="","",HYPERLINK("#'ASSETS'!A40",'ASSETS'!$A40))</f>
        <v>testimonial-client13</v>
      </c>
      <c r="B40" s="91" t="str">
        <f>IF('ASSETS'!$A40="","",UPPER('ASSETS'!$B40))</f>
        <v>IMAGE</v>
      </c>
      <c r="C40" s="92" t="str">
        <f>IF('ASSETS'!$A40="","",IMAGE("http://127.0.0.1:5173/__dev/asset-preview"&amp;"?assetId="&amp;ENCODEURL('ASSETS'!$A40)&amp;"&amp;sig="&amp;ENCODEURL('ASSETS'!$B40&amp;"|"&amp;'ASSETS'!$C40&amp;"|"&amp;'ASSETS'!$D40&amp;"|"&amp;'ASSETS'!$E40&amp;"|"&amp;'ASSETS'!$H40),"Preview"))</f>
        <v>Preview</v>
      </c>
      <c r="D40" s="91" t="str">
        <f>IF('ASSETS'!$A40="","",'ASSETS'!$I40)</f>
        <v>/assets/testimonials/client13.jpg</v>
      </c>
      <c r="E40" s="91" t="str">
        <f>IF('ASSETS'!$A40="","",'ASSETS'!$L40)</f>
        <v/>
      </c>
      <c r="F40" s="93" t="str">
        <f>IF('ASSETS'!$A40="","",IF(UPPER('ASSETS'!$H40)&lt;&gt;"TRUE","Disabled",HYPERLINK("http://127.0.0.1:5173/__dev/asset-source"&amp;"?assetId="&amp;ENCODEURL('ASSETS'!$A40)&amp;"&amp;sig="&amp;ENCODEURL('ASSETS'!$B40&amp;"|"&amp;'ASSETS'!$C40&amp;"|"&amp;'ASSETS'!$D40&amp;"|"&amp;'ASSETS'!$E40&amp;"|"&amp;'ASSETS'!$H40),"Open source")))</f>
        <v>Open source</v>
      </c>
      <c r="G40" s="93" t="str">
        <f>IF('ASSETS'!$A40="","",IF(OR(UPPER('ASSETS'!$H40)&lt;&gt;"TRUE",'ASSETS'!$I40=""),"Unavailable",HYPERLINK("http://127.0.0.1:5173/__dev/asset-resolved"&amp;"?assetId="&amp;ENCODEURL('ASSETS'!$A40)&amp;"&amp;sig="&amp;ENCODEURL('ASSETS'!$B40&amp;"|"&amp;'ASSETS'!$C40&amp;"|"&amp;'ASSETS'!$D40&amp;"|"&amp;'ASSETS'!$E40&amp;"|"&amp;'ASSETS'!$H40),"Open resolved")))</f>
        <v>Open resolved</v>
      </c>
    </row>
    <row r="41" ht="86" customHeight="1" spans="1:7" x14ac:dyDescent="0.25">
      <c r="A41" s="90" t="str">
        <f>IF('ASSETS'!$A41="","",HYPERLINK("#'ASSETS'!A41",'ASSETS'!$A41))</f>
        <v>testimonial-client14</v>
      </c>
      <c r="B41" s="91" t="str">
        <f>IF('ASSETS'!$A41="","",UPPER('ASSETS'!$B41))</f>
        <v>IMAGE</v>
      </c>
      <c r="C41" s="92" t="str">
        <f>IF('ASSETS'!$A41="","",IMAGE("http://127.0.0.1:5173/__dev/asset-preview"&amp;"?assetId="&amp;ENCODEURL('ASSETS'!$A41)&amp;"&amp;sig="&amp;ENCODEURL('ASSETS'!$B41&amp;"|"&amp;'ASSETS'!$C41&amp;"|"&amp;'ASSETS'!$D41&amp;"|"&amp;'ASSETS'!$E41&amp;"|"&amp;'ASSETS'!$H41),"Preview"))</f>
        <v>Preview</v>
      </c>
      <c r="D41" s="91" t="str">
        <f>IF('ASSETS'!$A41="","",'ASSETS'!$I41)</f>
        <v>/assets/testimonials/client14.jpg</v>
      </c>
      <c r="E41" s="91" t="str">
        <f>IF('ASSETS'!$A41="","",'ASSETS'!$L41)</f>
        <v/>
      </c>
      <c r="F41" s="93" t="str">
        <f>IF('ASSETS'!$A41="","",IF(UPPER('ASSETS'!$H41)&lt;&gt;"TRUE","Disabled",HYPERLINK("http://127.0.0.1:5173/__dev/asset-source"&amp;"?assetId="&amp;ENCODEURL('ASSETS'!$A41)&amp;"&amp;sig="&amp;ENCODEURL('ASSETS'!$B41&amp;"|"&amp;'ASSETS'!$C41&amp;"|"&amp;'ASSETS'!$D41&amp;"|"&amp;'ASSETS'!$E41&amp;"|"&amp;'ASSETS'!$H41),"Open source")))</f>
        <v>Open source</v>
      </c>
      <c r="G41" s="93" t="str">
        <f>IF('ASSETS'!$A41="","",IF(OR(UPPER('ASSETS'!$H41)&lt;&gt;"TRUE",'ASSETS'!$I41=""),"Unavailable",HYPERLINK("http://127.0.0.1:5173/__dev/asset-resolved"&amp;"?assetId="&amp;ENCODEURL('ASSETS'!$A41)&amp;"&amp;sig="&amp;ENCODEURL('ASSETS'!$B41&amp;"|"&amp;'ASSETS'!$C41&amp;"|"&amp;'ASSETS'!$D41&amp;"|"&amp;'ASSETS'!$E41&amp;"|"&amp;'ASSETS'!$H41),"Open resolved")))</f>
        <v>Open resolved</v>
      </c>
    </row>
    <row r="42" ht="86" customHeight="1" spans="1:7" x14ac:dyDescent="0.25">
      <c r="A42" s="90" t="str">
        <f>IF('ASSETS'!$A42="","",HYPERLINK("#'ASSETS'!A42",'ASSETS'!$A42))</f>
        <v>testimonial-client15</v>
      </c>
      <c r="B42" s="91" t="str">
        <f>IF('ASSETS'!$A42="","",UPPER('ASSETS'!$B42))</f>
        <v>IMAGE</v>
      </c>
      <c r="C42" s="92" t="str">
        <f>IF('ASSETS'!$A42="","",IMAGE("http://127.0.0.1:5173/__dev/asset-preview"&amp;"?assetId="&amp;ENCODEURL('ASSETS'!$A42)&amp;"&amp;sig="&amp;ENCODEURL('ASSETS'!$B42&amp;"|"&amp;'ASSETS'!$C42&amp;"|"&amp;'ASSETS'!$D42&amp;"|"&amp;'ASSETS'!$E42&amp;"|"&amp;'ASSETS'!$H42),"Preview"))</f>
        <v>Preview</v>
      </c>
      <c r="D42" s="91" t="str">
        <f>IF('ASSETS'!$A42="","",'ASSETS'!$I42)</f>
        <v>/assets/testimonials/client15.jpg</v>
      </c>
      <c r="E42" s="91" t="str">
        <f>IF('ASSETS'!$A42="","",'ASSETS'!$L42)</f>
        <v/>
      </c>
      <c r="F42" s="93" t="str">
        <f>IF('ASSETS'!$A42="","",IF(UPPER('ASSETS'!$H42)&lt;&gt;"TRUE","Disabled",HYPERLINK("http://127.0.0.1:5173/__dev/asset-source"&amp;"?assetId="&amp;ENCODEURL('ASSETS'!$A42)&amp;"&amp;sig="&amp;ENCODEURL('ASSETS'!$B42&amp;"|"&amp;'ASSETS'!$C42&amp;"|"&amp;'ASSETS'!$D42&amp;"|"&amp;'ASSETS'!$E42&amp;"|"&amp;'ASSETS'!$H42),"Open source")))</f>
        <v>Open source</v>
      </c>
      <c r="G42" s="93" t="str">
        <f>IF('ASSETS'!$A42="","",IF(OR(UPPER('ASSETS'!$H42)&lt;&gt;"TRUE",'ASSETS'!$I42=""),"Unavailable",HYPERLINK("http://127.0.0.1:5173/__dev/asset-resolved"&amp;"?assetId="&amp;ENCODEURL('ASSETS'!$A42)&amp;"&amp;sig="&amp;ENCODEURL('ASSETS'!$B42&amp;"|"&amp;'ASSETS'!$C42&amp;"|"&amp;'ASSETS'!$D42&amp;"|"&amp;'ASSETS'!$E42&amp;"|"&amp;'ASSETS'!$H42),"Open resolved")))</f>
        <v>Open resolved</v>
      </c>
    </row>
    <row r="43" ht="86" customHeight="1" spans="1:7" x14ac:dyDescent="0.25">
      <c r="A43" s="90" t="str">
        <f>IF('ASSETS'!$A43="","",HYPERLINK("#'ASSETS'!A43",'ASSETS'!$A43))</f>
        <v>testimonial-pack-smark</v>
      </c>
      <c r="B43" s="91" t="str">
        <f>IF('ASSETS'!$A43="","",UPPER('ASSETS'!$B43))</f>
        <v>IMAGE</v>
      </c>
      <c r="C43" s="92" t="str">
        <f>IF('ASSETS'!$A43="","",IMAGE("http://127.0.0.1:5173/__dev/asset-preview"&amp;"?assetId="&amp;ENCODEURL('ASSETS'!$A43)&amp;"&amp;sig="&amp;ENCODEURL('ASSETS'!$B43&amp;"|"&amp;'ASSETS'!$C43&amp;"|"&amp;'ASSETS'!$D43&amp;"|"&amp;'ASSETS'!$E43&amp;"|"&amp;'ASSETS'!$H43),"Preview"))</f>
        <v>Preview</v>
      </c>
      <c r="D43" s="91" t="str">
        <f>IF('ASSETS'!$A43="","",'ASSETS'!$I43)</f>
        <v>/assets/testimonials/pack-smark.svg</v>
      </c>
      <c r="E43" s="91" t="str">
        <f>IF('ASSETS'!$A43="","",'ASSETS'!$L43)</f>
        <v/>
      </c>
      <c r="F43" s="93" t="str">
        <f>IF('ASSETS'!$A43="","",IF(UPPER('ASSETS'!$H43)&lt;&gt;"TRUE","Disabled",HYPERLINK("http://127.0.0.1:5173/__dev/asset-source"&amp;"?assetId="&amp;ENCODEURL('ASSETS'!$A43)&amp;"&amp;sig="&amp;ENCODEURL('ASSETS'!$B43&amp;"|"&amp;'ASSETS'!$C43&amp;"|"&amp;'ASSETS'!$D43&amp;"|"&amp;'ASSETS'!$E43&amp;"|"&amp;'ASSETS'!$H43),"Open source")))</f>
        <v>Open source</v>
      </c>
      <c r="G43" s="93" t="str">
        <f>IF('ASSETS'!$A43="","",IF(OR(UPPER('ASSETS'!$H43)&lt;&gt;"TRUE",'ASSETS'!$I43=""),"Unavailable",HYPERLINK("http://127.0.0.1:5173/__dev/asset-resolved"&amp;"?assetId="&amp;ENCODEURL('ASSETS'!$A43)&amp;"&amp;sig="&amp;ENCODEURL('ASSETS'!$B43&amp;"|"&amp;'ASSETS'!$C43&amp;"|"&amp;'ASSETS'!$D43&amp;"|"&amp;'ASSETS'!$E43&amp;"|"&amp;'ASSETS'!$H43),"Open resolved")))</f>
        <v>Open resolved</v>
      </c>
    </row>
    <row r="44" ht="86" customHeight="1" spans="1:7" x14ac:dyDescent="0.25">
      <c r="A44" s="90" t="str">
        <f>IF('ASSETS'!$A44="","",HYPERLINK("#'ASSETS'!A44",'ASSETS'!$A44))</f>
        <v>testimonial-pack-mountain</v>
      </c>
      <c r="B44" s="91" t="str">
        <f>IF('ASSETS'!$A44="","",UPPER('ASSETS'!$B44))</f>
        <v>IMAGE</v>
      </c>
      <c r="C44" s="92" t="str">
        <f>IF('ASSETS'!$A44="","",IMAGE("http://127.0.0.1:5173/__dev/asset-preview"&amp;"?assetId="&amp;ENCODEURL('ASSETS'!$A44)&amp;"&amp;sig="&amp;ENCODEURL('ASSETS'!$B44&amp;"|"&amp;'ASSETS'!$C44&amp;"|"&amp;'ASSETS'!$D44&amp;"|"&amp;'ASSETS'!$E44&amp;"|"&amp;'ASSETS'!$H44),"Preview"))</f>
        <v>Preview</v>
      </c>
      <c r="D44" s="91" t="str">
        <f>IF('ASSETS'!$A44="","",'ASSETS'!$I44)</f>
        <v>/assets/testimonials/pack-mountain.svg</v>
      </c>
      <c r="E44" s="91" t="str">
        <f>IF('ASSETS'!$A44="","",'ASSETS'!$L44)</f>
        <v/>
      </c>
      <c r="F44" s="93" t="str">
        <f>IF('ASSETS'!$A44="","",IF(UPPER('ASSETS'!$H44)&lt;&gt;"TRUE","Disabled",HYPERLINK("http://127.0.0.1:5173/__dev/asset-source"&amp;"?assetId="&amp;ENCODEURL('ASSETS'!$A44)&amp;"&amp;sig="&amp;ENCODEURL('ASSETS'!$B44&amp;"|"&amp;'ASSETS'!$C44&amp;"|"&amp;'ASSETS'!$D44&amp;"|"&amp;'ASSETS'!$E44&amp;"|"&amp;'ASSETS'!$H44),"Open source")))</f>
        <v>Open source</v>
      </c>
      <c r="G44" s="93" t="str">
        <f>IF('ASSETS'!$A44="","",IF(OR(UPPER('ASSETS'!$H44)&lt;&gt;"TRUE",'ASSETS'!$I44=""),"Unavailable",HYPERLINK("http://127.0.0.1:5173/__dev/asset-resolved"&amp;"?assetId="&amp;ENCODEURL('ASSETS'!$A44)&amp;"&amp;sig="&amp;ENCODEURL('ASSETS'!$B44&amp;"|"&amp;'ASSETS'!$C44&amp;"|"&amp;'ASSETS'!$D44&amp;"|"&amp;'ASSETS'!$E44&amp;"|"&amp;'ASSETS'!$H44),"Open resolved")))</f>
        <v>Open resolved</v>
      </c>
    </row>
    <row r="45" ht="86" customHeight="1" spans="1:7" x14ac:dyDescent="0.25">
      <c r="A45" s="90" t="str">
        <f>IF('ASSETS'!$A45="","",HYPERLINK("#'ASSETS'!A45",'ASSETS'!$A45))</f>
        <v>project-6-video</v>
      </c>
      <c r="B45" s="91" t="str">
        <f>IF('ASSETS'!$A45="","",UPPER('ASSETS'!$B45))</f>
        <v>VIDEO</v>
      </c>
      <c r="C45" s="92" t="str">
        <f>IF('ASSETS'!$A45="","",IMAGE("http://127.0.0.1:5173/__dev/asset-preview"&amp;"?assetId="&amp;ENCODEURL('ASSETS'!$A45)&amp;"&amp;sig="&amp;ENCODEURL('ASSETS'!$B45&amp;"|"&amp;'ASSETS'!$C45&amp;"|"&amp;'ASSETS'!$D45&amp;"|"&amp;'ASSETS'!$E45&amp;"|"&amp;'ASSETS'!$H45),"Preview"))</f>
        <v>Preview</v>
      </c>
      <c r="D45" s="91" t="str">
        <f>IF('ASSETS'!$A45="","",'ASSETS'!$I45)</f>
        <v>/assets/projects/remote-pc-bridge.mp4</v>
      </c>
      <c r="E45" s="91" t="str">
        <f>IF('ASSETS'!$A45="","",'ASSETS'!$L45)</f>
        <v/>
      </c>
      <c r="F45" s="93" t="str">
        <f>IF('ASSETS'!$A45="","",IF(UPPER('ASSETS'!$H45)&lt;&gt;"TRUE","Disabled",HYPERLINK("http://127.0.0.1:5173/__dev/asset-source"&amp;"?assetId="&amp;ENCODEURL('ASSETS'!$A45)&amp;"&amp;sig="&amp;ENCODEURL('ASSETS'!$B45&amp;"|"&amp;'ASSETS'!$C45&amp;"|"&amp;'ASSETS'!$D45&amp;"|"&amp;'ASSETS'!$E45&amp;"|"&amp;'ASSETS'!$H45),"Open source")))</f>
        <v>Open source</v>
      </c>
      <c r="G45" s="93" t="str">
        <f>IF('ASSETS'!$A45="","",IF(OR(UPPER('ASSETS'!$H45)&lt;&gt;"TRUE",'ASSETS'!$I45=""),"Unavailable",HYPERLINK("http://127.0.0.1:5173/__dev/asset-resolved"&amp;"?assetId="&amp;ENCODEURL('ASSETS'!$A45)&amp;"&amp;sig="&amp;ENCODEURL('ASSETS'!$B45&amp;"|"&amp;'ASSETS'!$C45&amp;"|"&amp;'ASSETS'!$D45&amp;"|"&amp;'ASSETS'!$E45&amp;"|"&amp;'ASSETS'!$H45),"Open resolved")))</f>
        <v>Open resolved</v>
      </c>
    </row>
    <row r="46" ht="86" customHeight="1" spans="1:7" x14ac:dyDescent="0.25">
      <c r="A46" s="90" t="str">
        <f>IF('ASSETS'!$A46="","",HYPERLINK("#'ASSETS'!A46",'ASSETS'!$A46))</f>
        <v>project-6-thumbnail</v>
      </c>
      <c r="B46" s="91" t="str">
        <f>IF('ASSETS'!$A46="","",UPPER('ASSETS'!$B46))</f>
        <v>IMAGE</v>
      </c>
      <c r="C46" s="92" t="str">
        <f>IF('ASSETS'!$A46="","",IMAGE("http://127.0.0.1:5173/__dev/asset-preview"&amp;"?assetId="&amp;ENCODEURL('ASSETS'!$A46)&amp;"&amp;sig="&amp;ENCODEURL('ASSETS'!$B46&amp;"|"&amp;'ASSETS'!$C46&amp;"|"&amp;'ASSETS'!$D46&amp;"|"&amp;'ASSETS'!$E46&amp;"|"&amp;'ASSETS'!$H46),"Preview"))</f>
        <v>Preview</v>
      </c>
      <c r="D46" s="91" t="str">
        <f>IF('ASSETS'!$A46="","",'ASSETS'!$I46)</f>
        <v>/assets/projects/remote-pc-bridge.jpg</v>
      </c>
      <c r="E46" s="91" t="str">
        <f>IF('ASSETS'!$A46="","",'ASSETS'!$L46)</f>
        <v/>
      </c>
      <c r="F46" s="93" t="str">
        <f>IF('ASSETS'!$A46="","",IF(UPPER('ASSETS'!$H46)&lt;&gt;"TRUE","Disabled",HYPERLINK("http://127.0.0.1:5173/__dev/asset-source"&amp;"?assetId="&amp;ENCODEURL('ASSETS'!$A46)&amp;"&amp;sig="&amp;ENCODEURL('ASSETS'!$B46&amp;"|"&amp;'ASSETS'!$C46&amp;"|"&amp;'ASSETS'!$D46&amp;"|"&amp;'ASSETS'!$E46&amp;"|"&amp;'ASSETS'!$H46),"Open source")))</f>
        <v>Open source</v>
      </c>
      <c r="G46" s="93" t="str">
        <f>IF('ASSETS'!$A46="","",IF(OR(UPPER('ASSETS'!$H46)&lt;&gt;"TRUE",'ASSETS'!$I46=""),"Unavailable",HYPERLINK("http://127.0.0.1:5173/__dev/asset-resolved"&amp;"?assetId="&amp;ENCODEURL('ASSETS'!$A46)&amp;"&amp;sig="&amp;ENCODEURL('ASSETS'!$B46&amp;"|"&amp;'ASSETS'!$C46&amp;"|"&amp;'ASSETS'!$D46&amp;"|"&amp;'ASSETS'!$E46&amp;"|"&amp;'ASSETS'!$H46),"Open resolved")))</f>
        <v>Open resolved</v>
      </c>
    </row>
    <row r="47" ht="86" customHeight="1" spans="1:7" x14ac:dyDescent="0.25">
      <c r="A47" s="90" t="str">
        <f>IF('ASSETS'!$A47="","",HYPERLINK("#'ASSETS'!A47",'ASSETS'!$A47))</f>
        <v>project-6-icon</v>
      </c>
      <c r="B47" s="91" t="str">
        <f>IF('ASSETS'!$A47="","",UPPER('ASSETS'!$B47))</f>
        <v>ICON</v>
      </c>
      <c r="C47" s="92" t="str">
        <f>IF('ASSETS'!$A47="","",IMAGE("http://127.0.0.1:5173/__dev/asset-preview"&amp;"?assetId="&amp;ENCODEURL('ASSETS'!$A47)&amp;"&amp;sig="&amp;ENCODEURL('ASSETS'!$B47&amp;"|"&amp;'ASSETS'!$C47&amp;"|"&amp;'ASSETS'!$D47&amp;"|"&amp;'ASSETS'!$E47&amp;"|"&amp;'ASSETS'!$H47),"Preview"))</f>
        <v>Preview</v>
      </c>
      <c r="D47" s="91" t="str">
        <f>IF('ASSETS'!$A47="","",'ASSETS'!$I47)</f>
        <v>/assets/projects/remote-pc-bridge-icon.png</v>
      </c>
      <c r="E47" s="91" t="str">
        <f>IF('ASSETS'!$A47="","",'ASSETS'!$L47)</f>
        <v/>
      </c>
      <c r="F47" s="93" t="str">
        <f>IF('ASSETS'!$A47="","",IF(UPPER('ASSETS'!$H47)&lt;&gt;"TRUE","Disabled",HYPERLINK("http://127.0.0.1:5173/__dev/asset-source"&amp;"?assetId="&amp;ENCODEURL('ASSETS'!$A47)&amp;"&amp;sig="&amp;ENCODEURL('ASSETS'!$B47&amp;"|"&amp;'ASSETS'!$C47&amp;"|"&amp;'ASSETS'!$D47&amp;"|"&amp;'ASSETS'!$E47&amp;"|"&amp;'ASSETS'!$H47),"Open source")))</f>
        <v>Open source</v>
      </c>
      <c r="G47" s="93" t="str">
        <f>IF('ASSETS'!$A47="","",IF(OR(UPPER('ASSETS'!$H47)&lt;&gt;"TRUE",'ASSETS'!$I47=""),"Unavailable",HYPERLINK("http://127.0.0.1:5173/__dev/asset-resolved"&amp;"?assetId="&amp;ENCODEURL('ASSETS'!$A47)&amp;"&amp;sig="&amp;ENCODEURL('ASSETS'!$B47&amp;"|"&amp;'ASSETS'!$C47&amp;"|"&amp;'ASSETS'!$D47&amp;"|"&amp;'ASSETS'!$E47&amp;"|"&amp;'ASSETS'!$H47),"Open resolved")))</f>
        <v>Open resolved</v>
      </c>
    </row>
    <row r="48" ht="86" customHeight="1" spans="1:7" x14ac:dyDescent="0.25">
      <c r="A48" s="90" t="str">
        <f>IF('ASSETS'!$A48="","",HYPERLINK("#'ASSETS'!A48",'ASSETS'!$A48))</f>
        <v>datacraft-cover</v>
      </c>
      <c r="B48" s="91" t="str">
        <f>IF('ASSETS'!$A48="","",UPPER('ASSETS'!$B48))</f>
        <v>IMAGE</v>
      </c>
      <c r="C48" s="92" t="str">
        <f>IF('ASSETS'!$A48="","",IMAGE("http://127.0.0.1:5173/__dev/asset-preview"&amp;"?assetId="&amp;ENCODEURL('ASSETS'!$A48)&amp;"&amp;sig="&amp;ENCODEURL('ASSETS'!$B48&amp;"|"&amp;'ASSETS'!$C48&amp;"|"&amp;'ASSETS'!$D48&amp;"|"&amp;'ASSETS'!$E48&amp;"|"&amp;'ASSETS'!$H48),"Preview"))</f>
        <v>Preview</v>
      </c>
      <c r="D48" s="91" t="str">
        <f>IF('ASSETS'!$A48="","",'ASSETS'!$I48)</f>
        <v>/assets/projects/datacraft/cover.webp</v>
      </c>
      <c r="E48" s="91" t="str">
        <f>IF('ASSETS'!$A48="","",'ASSETS'!$L48)</f>
        <v/>
      </c>
      <c r="F48" s="93" t="str">
        <f>IF('ASSETS'!$A48="","",IF(UPPER('ASSETS'!$H48)&lt;&gt;"TRUE","Disabled",HYPERLINK("http://127.0.0.1:5173/__dev/asset-source"&amp;"?assetId="&amp;ENCODEURL('ASSETS'!$A48)&amp;"&amp;sig="&amp;ENCODEURL('ASSETS'!$B48&amp;"|"&amp;'ASSETS'!$C48&amp;"|"&amp;'ASSETS'!$D48&amp;"|"&amp;'ASSETS'!$E48&amp;"|"&amp;'ASSETS'!$H48),"Open source")))</f>
        <v>Open source</v>
      </c>
      <c r="G48" s="93" t="str">
        <f>IF('ASSETS'!$A48="","",IF(OR(UPPER('ASSETS'!$H48)&lt;&gt;"TRUE",'ASSETS'!$I48=""),"Unavailable",HYPERLINK("http://127.0.0.1:5173/__dev/asset-resolved"&amp;"?assetId="&amp;ENCODEURL('ASSETS'!$A48)&amp;"&amp;sig="&amp;ENCODEURL('ASSETS'!$B48&amp;"|"&amp;'ASSETS'!$C48&amp;"|"&amp;'ASSETS'!$D48&amp;"|"&amp;'ASSETS'!$E48&amp;"|"&amp;'ASSETS'!$H48),"Open resolved")))</f>
        <v>Open resolved</v>
      </c>
    </row>
    <row r="49" ht="86" customHeight="1" spans="1:7" x14ac:dyDescent="0.25">
      <c r="A49" s="90" t="str">
        <f>IF('ASSETS'!$A49="","",HYPERLINK("#'ASSETS'!A49",'ASSETS'!$A49))</f>
        <v>datacraft-icon</v>
      </c>
      <c r="B49" s="91" t="str">
        <f>IF('ASSETS'!$A49="","",UPPER('ASSETS'!$B49))</f>
        <v>ICON</v>
      </c>
      <c r="C49" s="92" t="str">
        <f>IF('ASSETS'!$A49="","",IMAGE("http://127.0.0.1:5173/__dev/asset-preview"&amp;"?assetId="&amp;ENCODEURL('ASSETS'!$A49)&amp;"&amp;sig="&amp;ENCODEURL('ASSETS'!$B49&amp;"|"&amp;'ASSETS'!$C49&amp;"|"&amp;'ASSETS'!$D49&amp;"|"&amp;'ASSETS'!$E49&amp;"|"&amp;'ASSETS'!$H49),"Preview"))</f>
        <v>Preview</v>
      </c>
      <c r="D49" s="91" t="str">
        <f>IF('ASSETS'!$A49="","",'ASSETS'!$I49)</f>
        <v>/assets/projects/datacraft/symbol.svg</v>
      </c>
      <c r="E49" s="91" t="str">
        <f>IF('ASSETS'!$A49="","",'ASSETS'!$L49)</f>
        <v/>
      </c>
      <c r="F49" s="93" t="str">
        <f>IF('ASSETS'!$A49="","",IF(UPPER('ASSETS'!$H49)&lt;&gt;"TRUE","Disabled",HYPERLINK("http://127.0.0.1:5173/__dev/asset-source"&amp;"?assetId="&amp;ENCODEURL('ASSETS'!$A49)&amp;"&amp;sig="&amp;ENCODEURL('ASSETS'!$B49&amp;"|"&amp;'ASSETS'!$C49&amp;"|"&amp;'ASSETS'!$D49&amp;"|"&amp;'ASSETS'!$E49&amp;"|"&amp;'ASSETS'!$H49),"Open source")))</f>
        <v>Open source</v>
      </c>
      <c r="G49" s="93" t="str">
        <f>IF('ASSETS'!$A49="","",IF(OR(UPPER('ASSETS'!$H49)&lt;&gt;"TRUE",'ASSETS'!$I49=""),"Unavailable",HYPERLINK("http://127.0.0.1:5173/__dev/asset-resolved"&amp;"?assetId="&amp;ENCODEURL('ASSETS'!$A49)&amp;"&amp;sig="&amp;ENCODEURL('ASSETS'!$B49&amp;"|"&amp;'ASSETS'!$C49&amp;"|"&amp;'ASSETS'!$D49&amp;"|"&amp;'ASSETS'!$E49&amp;"|"&amp;'ASSETS'!$H49),"Open resolved")))</f>
        <v>Open resolved</v>
      </c>
    </row>
    <row r="50" ht="86" customHeight="1" spans="1:7" x14ac:dyDescent="0.25">
      <c r="A50" s="90" t="str">
        <f>IF('ASSETS'!$A50="","",HYPERLINK("#'ASSETS'!A50",'ASSETS'!$A50))</f>
        <v>datacraft-gallery-1</v>
      </c>
      <c r="B50" s="91" t="str">
        <f>IF('ASSETS'!$A50="","",UPPER('ASSETS'!$B50))</f>
        <v>IMAGE</v>
      </c>
      <c r="C50" s="92" t="str">
        <f>IF('ASSETS'!$A50="","",IMAGE("http://127.0.0.1:5173/__dev/asset-preview"&amp;"?assetId="&amp;ENCODEURL('ASSETS'!$A50)&amp;"&amp;sig="&amp;ENCODEURL('ASSETS'!$B50&amp;"|"&amp;'ASSETS'!$C50&amp;"|"&amp;'ASSETS'!$D50&amp;"|"&amp;'ASSETS'!$E50&amp;"|"&amp;'ASSETS'!$H50),"Preview"))</f>
        <v>Preview</v>
      </c>
      <c r="D50" s="91" t="str">
        <f>IF('ASSETS'!$A50="","",'ASSETS'!$I50)</f>
        <v>/assets/projects/datacraft/02-Visual-authoring.webp</v>
      </c>
      <c r="E50" s="91" t="str">
        <f>IF('ASSETS'!$A50="","",'ASSETS'!$L50)</f>
        <v/>
      </c>
      <c r="F50" s="93" t="str">
        <f>IF('ASSETS'!$A50="","",IF(UPPER('ASSETS'!$H50)&lt;&gt;"TRUE","Disabled",HYPERLINK("http://127.0.0.1:5173/__dev/asset-source"&amp;"?assetId="&amp;ENCODEURL('ASSETS'!$A50)&amp;"&amp;sig="&amp;ENCODEURL('ASSETS'!$B50&amp;"|"&amp;'ASSETS'!$C50&amp;"|"&amp;'ASSETS'!$D50&amp;"|"&amp;'ASSETS'!$E50&amp;"|"&amp;'ASSETS'!$H50),"Open source")))</f>
        <v>Open source</v>
      </c>
      <c r="G50" s="93" t="str">
        <f>IF('ASSETS'!$A50="","",IF(OR(UPPER('ASSETS'!$H50)&lt;&gt;"TRUE",'ASSETS'!$I50=""),"Unavailable",HYPERLINK("http://127.0.0.1:5173/__dev/asset-resolved"&amp;"?assetId="&amp;ENCODEURL('ASSETS'!$A50)&amp;"&amp;sig="&amp;ENCODEURL('ASSETS'!$B50&amp;"|"&amp;'ASSETS'!$C50&amp;"|"&amp;'ASSETS'!$D50&amp;"|"&amp;'ASSETS'!$E50&amp;"|"&amp;'ASSETS'!$H50),"Open resolved")))</f>
        <v>Open resolved</v>
      </c>
    </row>
    <row r="51" ht="86" customHeight="1" spans="1:7" x14ac:dyDescent="0.25">
      <c r="A51" s="90" t="str">
        <f>IF('ASSETS'!$A51="","",HYPERLINK("#'ASSETS'!A51",'ASSETS'!$A51))</f>
        <v>datacraft-gallery-2</v>
      </c>
      <c r="B51" s="91" t="str">
        <f>IF('ASSETS'!$A51="","",UPPER('ASSETS'!$B51))</f>
        <v>IMAGE</v>
      </c>
      <c r="C51" s="92" t="str">
        <f>IF('ASSETS'!$A51="","",IMAGE("http://127.0.0.1:5173/__dev/asset-preview"&amp;"?assetId="&amp;ENCODEURL('ASSETS'!$A51)&amp;"&amp;sig="&amp;ENCODEURL('ASSETS'!$B51&amp;"|"&amp;'ASSETS'!$C51&amp;"|"&amp;'ASSETS'!$D51&amp;"|"&amp;'ASSETS'!$E51&amp;"|"&amp;'ASSETS'!$H51),"Preview"))</f>
        <v>Preview</v>
      </c>
      <c r="D51" s="91" t="str">
        <f>IF('ASSETS'!$A51="","",'ASSETS'!$I51)</f>
        <v>/assets/projects/datacraft/03-Templates-instances.webp</v>
      </c>
      <c r="E51" s="91" t="str">
        <f>IF('ASSETS'!$A51="","",'ASSETS'!$L51)</f>
        <v/>
      </c>
      <c r="F51" s="93" t="str">
        <f>IF('ASSETS'!$A51="","",IF(UPPER('ASSETS'!$H51)&lt;&gt;"TRUE","Disabled",HYPERLINK("http://127.0.0.1:5173/__dev/asset-source"&amp;"?assetId="&amp;ENCODEURL('ASSETS'!$A51)&amp;"&amp;sig="&amp;ENCODEURL('ASSETS'!$B51&amp;"|"&amp;'ASSETS'!$C51&amp;"|"&amp;'ASSETS'!$D51&amp;"|"&amp;'ASSETS'!$E51&amp;"|"&amp;'ASSETS'!$H51),"Open source")))</f>
        <v>Open source</v>
      </c>
      <c r="G51" s="93" t="str">
        <f>IF('ASSETS'!$A51="","",IF(OR(UPPER('ASSETS'!$H51)&lt;&gt;"TRUE",'ASSETS'!$I51=""),"Unavailable",HYPERLINK("http://127.0.0.1:5173/__dev/asset-resolved"&amp;"?assetId="&amp;ENCODEURL('ASSETS'!$A51)&amp;"&amp;sig="&amp;ENCODEURL('ASSETS'!$B51&amp;"|"&amp;'ASSETS'!$C51&amp;"|"&amp;'ASSETS'!$D51&amp;"|"&amp;'ASSETS'!$E51&amp;"|"&amp;'ASSETS'!$H51),"Open resolved")))</f>
        <v>Open resolved</v>
      </c>
    </row>
    <row r="52" ht="86" customHeight="1" spans="1:7" x14ac:dyDescent="0.25">
      <c r="A52" s="90" t="str">
        <f>IF('ASSETS'!$A52="","",HYPERLINK("#'ASSETS'!A52",'ASSETS'!$A52))</f>
        <v>datacraft-gallery-3</v>
      </c>
      <c r="B52" s="91" t="str">
        <f>IF('ASSETS'!$A52="","",UPPER('ASSETS'!$B52))</f>
        <v>IMAGE</v>
      </c>
      <c r="C52" s="92" t="str">
        <f>IF('ASSETS'!$A52="","",IMAGE("http://127.0.0.1:5173/__dev/asset-preview"&amp;"?assetId="&amp;ENCODEURL('ASSETS'!$A52)&amp;"&amp;sig="&amp;ENCODEURL('ASSETS'!$B52&amp;"|"&amp;'ASSETS'!$C52&amp;"|"&amp;'ASSETS'!$D52&amp;"|"&amp;'ASSETS'!$E52&amp;"|"&amp;'ASSETS'!$H52),"Preview"))</f>
        <v>Preview</v>
      </c>
      <c r="D52" s="91" t="str">
        <f>IF('ASSETS'!$A52="","",'ASSETS'!$I52)</f>
        <v>/assets/projects/datacraft/04-Template-references.webp</v>
      </c>
      <c r="E52" s="91" t="str">
        <f>IF('ASSETS'!$A52="","",'ASSETS'!$L52)</f>
        <v/>
      </c>
      <c r="F52" s="93" t="str">
        <f>IF('ASSETS'!$A52="","",IF(UPPER('ASSETS'!$H52)&lt;&gt;"TRUE","Disabled",HYPERLINK("http://127.0.0.1:5173/__dev/asset-source"&amp;"?assetId="&amp;ENCODEURL('ASSETS'!$A52)&amp;"&amp;sig="&amp;ENCODEURL('ASSETS'!$B52&amp;"|"&amp;'ASSETS'!$C52&amp;"|"&amp;'ASSETS'!$D52&amp;"|"&amp;'ASSETS'!$E52&amp;"|"&amp;'ASSETS'!$H52),"Open source")))</f>
        <v>Open source</v>
      </c>
      <c r="G52" s="93" t="str">
        <f>IF('ASSETS'!$A52="","",IF(OR(UPPER('ASSETS'!$H52)&lt;&gt;"TRUE",'ASSETS'!$I52=""),"Unavailable",HYPERLINK("http://127.0.0.1:5173/__dev/asset-resolved"&amp;"?assetId="&amp;ENCODEURL('ASSETS'!$A52)&amp;"&amp;sig="&amp;ENCODEURL('ASSETS'!$B52&amp;"|"&amp;'ASSETS'!$C52&amp;"|"&amp;'ASSETS'!$D52&amp;"|"&amp;'ASSETS'!$E52&amp;"|"&amp;'ASSETS'!$H52),"Open resolved")))</f>
        <v>Open resolved</v>
      </c>
    </row>
    <row r="53" ht="86" customHeight="1" spans="1:7" x14ac:dyDescent="0.25">
      <c r="A53" s="90" t="str">
        <f>IF('ASSETS'!$A53="","",HYPERLINK("#'ASSETS'!A53",'ASSETS'!$A53))</f>
        <v>datacraft-gallery-4</v>
      </c>
      <c r="B53" s="91" t="str">
        <f>IF('ASSETS'!$A53="","",UPPER('ASSETS'!$B53))</f>
        <v>IMAGE</v>
      </c>
      <c r="C53" s="92" t="str">
        <f>IF('ASSETS'!$A53="","",IMAGE("http://127.0.0.1:5173/__dev/asset-preview"&amp;"?assetId="&amp;ENCODEURL('ASSETS'!$A53)&amp;"&amp;sig="&amp;ENCODEURL('ASSETS'!$B53&amp;"|"&amp;'ASSETS'!$C53&amp;"|"&amp;'ASSETS'!$D53&amp;"|"&amp;'ASSETS'!$E53&amp;"|"&amp;'ASSETS'!$H53),"Preview"))</f>
        <v>Preview</v>
      </c>
      <c r="D53" s="91" t="str">
        <f>IF('ASSETS'!$A53="","",'ASSETS'!$I53)</f>
        <v>/assets/projects/datacraft/05-Unity-integration.webp</v>
      </c>
      <c r="E53" s="91" t="str">
        <f>IF('ASSETS'!$A53="","",'ASSETS'!$L53)</f>
        <v/>
      </c>
      <c r="F53" s="93" t="str">
        <f>IF('ASSETS'!$A53="","",IF(UPPER('ASSETS'!$H53)&lt;&gt;"TRUE","Disabled",HYPERLINK("http://127.0.0.1:5173/__dev/asset-source"&amp;"?assetId="&amp;ENCODEURL('ASSETS'!$A53)&amp;"&amp;sig="&amp;ENCODEURL('ASSETS'!$B53&amp;"|"&amp;'ASSETS'!$C53&amp;"|"&amp;'ASSETS'!$D53&amp;"|"&amp;'ASSETS'!$E53&amp;"|"&amp;'ASSETS'!$H53),"Open source")))</f>
        <v>Open source</v>
      </c>
      <c r="G53" s="93" t="str">
        <f>IF('ASSETS'!$A53="","",IF(OR(UPPER('ASSETS'!$H53)&lt;&gt;"TRUE",'ASSETS'!$I53=""),"Unavailable",HYPERLINK("http://127.0.0.1:5173/__dev/asset-resolved"&amp;"?assetId="&amp;ENCODEURL('ASSETS'!$A53)&amp;"&amp;sig="&amp;ENCODEURL('ASSETS'!$B53&amp;"|"&amp;'ASSETS'!$C53&amp;"|"&amp;'ASSETS'!$D53&amp;"|"&amp;'ASSETS'!$E53&amp;"|"&amp;'ASSETS'!$H53),"Open resolved")))</f>
        <v>Open resolved</v>
      </c>
    </row>
    <row r="54" ht="86" customHeight="1" spans="1:7" x14ac:dyDescent="0.25">
      <c r="A54" s="90" t="str">
        <f>IF('ASSETS'!$A54="","",HYPERLINK("#'ASSETS'!A54",'ASSETS'!$A54))</f>
        <v>datacraft-gallery-5</v>
      </c>
      <c r="B54" s="91" t="str">
        <f>IF('ASSETS'!$A54="","",UPPER('ASSETS'!$B54))</f>
        <v>IMAGE</v>
      </c>
      <c r="C54" s="92" t="str">
        <f>IF('ASSETS'!$A54="","",IMAGE("http://127.0.0.1:5173/__dev/asset-preview"&amp;"?assetId="&amp;ENCODEURL('ASSETS'!$A54)&amp;"&amp;sig="&amp;ENCODEURL('ASSETS'!$B54&amp;"|"&amp;'ASSETS'!$C54&amp;"|"&amp;'ASSETS'!$D54&amp;"|"&amp;'ASSETS'!$E54&amp;"|"&amp;'ASSETS'!$H54),"Preview"))</f>
        <v>Preview</v>
      </c>
      <c r="D54" s="91" t="str">
        <f>IF('ASSETS'!$A54="","",'ASSETS'!$I54)</f>
        <v>/assets/projects/datacraft/06-API-workflow.webp</v>
      </c>
      <c r="E54" s="91" t="str">
        <f>IF('ASSETS'!$A54="","",'ASSETS'!$L54)</f>
        <v/>
      </c>
      <c r="F54" s="93" t="str">
        <f>IF('ASSETS'!$A54="","",IF(UPPER('ASSETS'!$H54)&lt;&gt;"TRUE","Disabled",HYPERLINK("http://127.0.0.1:5173/__dev/asset-source"&amp;"?assetId="&amp;ENCODEURL('ASSETS'!$A54)&amp;"&amp;sig="&amp;ENCODEURL('ASSETS'!$B54&amp;"|"&amp;'ASSETS'!$C54&amp;"|"&amp;'ASSETS'!$D54&amp;"|"&amp;'ASSETS'!$E54&amp;"|"&amp;'ASSETS'!$H54),"Open source")))</f>
        <v>Open source</v>
      </c>
      <c r="G54" s="93" t="str">
        <f>IF('ASSETS'!$A54="","",IF(OR(UPPER('ASSETS'!$H54)&lt;&gt;"TRUE",'ASSETS'!$I54=""),"Unavailable",HYPERLINK("http://127.0.0.1:5173/__dev/asset-resolved"&amp;"?assetId="&amp;ENCODEURL('ASSETS'!$A54)&amp;"&amp;sig="&amp;ENCODEURL('ASSETS'!$B54&amp;"|"&amp;'ASSETS'!$C54&amp;"|"&amp;'ASSETS'!$D54&amp;"|"&amp;'ASSETS'!$E54&amp;"|"&amp;'ASSETS'!$H54),"Open resolved")))</f>
        <v>Open resolved</v>
      </c>
    </row>
    <row r="55" ht="86" customHeight="1" spans="1:7" x14ac:dyDescent="0.25">
      <c r="A55" s="90" t="str">
        <f>IF('ASSETS'!$A55="","",HYPERLINK("#'ASSETS'!A55",'ASSETS'!$A55))</f>
        <v>datacraft-gallery-6</v>
      </c>
      <c r="B55" s="91" t="str">
        <f>IF('ASSETS'!$A55="","",UPPER('ASSETS'!$B55))</f>
        <v>IMAGE</v>
      </c>
      <c r="C55" s="92" t="str">
        <f>IF('ASSETS'!$A55="","",IMAGE("http://127.0.0.1:5173/__dev/asset-preview"&amp;"?assetId="&amp;ENCODEURL('ASSETS'!$A55)&amp;"&amp;sig="&amp;ENCODEURL('ASSETS'!$B55&amp;"|"&amp;'ASSETS'!$C55&amp;"|"&amp;'ASSETS'!$D55&amp;"|"&amp;'ASSETS'!$E55&amp;"|"&amp;'ASSETS'!$H55),"Preview"))</f>
        <v>Preview</v>
      </c>
      <c r="D55" s="91" t="str">
        <f>IF('ASSETS'!$A55="","",'ASSETS'!$I55)</f>
        <v>/assets/projects/datacraft/07-Client-to-gameplay.webp</v>
      </c>
      <c r="E55" s="91" t="str">
        <f>IF('ASSETS'!$A55="","",'ASSETS'!$L55)</f>
        <v/>
      </c>
      <c r="F55" s="93" t="str">
        <f>IF('ASSETS'!$A55="","",IF(UPPER('ASSETS'!$H55)&lt;&gt;"TRUE","Disabled",HYPERLINK("http://127.0.0.1:5173/__dev/asset-source"&amp;"?assetId="&amp;ENCODEURL('ASSETS'!$A55)&amp;"&amp;sig="&amp;ENCODEURL('ASSETS'!$B55&amp;"|"&amp;'ASSETS'!$C55&amp;"|"&amp;'ASSETS'!$D55&amp;"|"&amp;'ASSETS'!$E55&amp;"|"&amp;'ASSETS'!$H55),"Open source")))</f>
        <v>Open source</v>
      </c>
      <c r="G55" s="93" t="str">
        <f>IF('ASSETS'!$A55="","",IF(OR(UPPER('ASSETS'!$H55)&lt;&gt;"TRUE",'ASSETS'!$I55=""),"Unavailable",HYPERLINK("http://127.0.0.1:5173/__dev/asset-resolved"&amp;"?assetId="&amp;ENCODEURL('ASSETS'!$A55)&amp;"&amp;sig="&amp;ENCODEURL('ASSETS'!$B55&amp;"|"&amp;'ASSETS'!$C55&amp;"|"&amp;'ASSETS'!$D55&amp;"|"&amp;'ASSETS'!$E55&amp;"|"&amp;'ASSETS'!$H55),"Open resolved")))</f>
        <v>Open resolved</v>
      </c>
    </row>
    <row r="56" ht="86" customHeight="1" spans="1:7" x14ac:dyDescent="0.25">
      <c r="A56" s="90" t="str">
        <f>IF('ASSETS'!$A56="","",HYPERLINK("#'ASSETS'!A56",'ASSETS'!$A56))</f>
        <v>datacraft-gallery-7</v>
      </c>
      <c r="B56" s="91" t="str">
        <f>IF('ASSETS'!$A56="","",UPPER('ASSETS'!$B56))</f>
        <v>IMAGE</v>
      </c>
      <c r="C56" s="92" t="str">
        <f>IF('ASSETS'!$A56="","",IMAGE("http://127.0.0.1:5173/__dev/asset-preview"&amp;"?assetId="&amp;ENCODEURL('ASSETS'!$A56)&amp;"&amp;sig="&amp;ENCODEURL('ASSETS'!$B56&amp;"|"&amp;'ASSETS'!$C56&amp;"|"&amp;'ASSETS'!$D56&amp;"|"&amp;'ASSETS'!$E56&amp;"|"&amp;'ASSETS'!$H56),"Preview"))</f>
        <v>Preview</v>
      </c>
      <c r="D56" s="91" t="str">
        <f>IF('ASSETS'!$A56="","",'ASSETS'!$I56)</f>
        <v>/assets/projects/datacraft/08-Save-progress.webp</v>
      </c>
      <c r="E56" s="91" t="str">
        <f>IF('ASSETS'!$A56="","",'ASSETS'!$L56)</f>
        <v/>
      </c>
      <c r="F56" s="93" t="str">
        <f>IF('ASSETS'!$A56="","",IF(UPPER('ASSETS'!$H56)&lt;&gt;"TRUE","Disabled",HYPERLINK("http://127.0.0.1:5173/__dev/asset-source"&amp;"?assetId="&amp;ENCODEURL('ASSETS'!$A56)&amp;"&amp;sig="&amp;ENCODEURL('ASSETS'!$B56&amp;"|"&amp;'ASSETS'!$C56&amp;"|"&amp;'ASSETS'!$D56&amp;"|"&amp;'ASSETS'!$E56&amp;"|"&amp;'ASSETS'!$H56),"Open source")))</f>
        <v>Open source</v>
      </c>
      <c r="G56" s="93" t="str">
        <f>IF('ASSETS'!$A56="","",IF(OR(UPPER('ASSETS'!$H56)&lt;&gt;"TRUE",'ASSETS'!$I56=""),"Unavailable",HYPERLINK("http://127.0.0.1:5173/__dev/asset-resolved"&amp;"?assetId="&amp;ENCODEURL('ASSETS'!$A56)&amp;"&amp;sig="&amp;ENCODEURL('ASSETS'!$B56&amp;"|"&amp;'ASSETS'!$C56&amp;"|"&amp;'ASSETS'!$D56&amp;"|"&amp;'ASSETS'!$E56&amp;"|"&amp;'ASSETS'!$H56),"Open resolved")))</f>
        <v>Open resolved</v>
      </c>
    </row>
    <row r="57" ht="86" customHeight="1" spans="1:7" x14ac:dyDescent="0.25">
      <c r="A57" s="90" t="str">
        <f>IF('ASSETS'!$A57="","",HYPERLINK("#'ASSETS'!A57",'ASSETS'!$A57))</f>
        <v>datacraft-gallery-8</v>
      </c>
      <c r="B57" s="91" t="str">
        <f>IF('ASSETS'!$A57="","",UPPER('ASSETS'!$B57))</f>
        <v>IMAGE</v>
      </c>
      <c r="C57" s="92" t="str">
        <f>IF('ASSETS'!$A57="","",IMAGE("http://127.0.0.1:5173/__dev/asset-preview"&amp;"?assetId="&amp;ENCODEURL('ASSETS'!$A57)&amp;"&amp;sig="&amp;ENCODEURL('ASSETS'!$B57&amp;"|"&amp;'ASSETS'!$C57&amp;"|"&amp;'ASSETS'!$D57&amp;"|"&amp;'ASSETS'!$E57&amp;"|"&amp;'ASSETS'!$H57),"Preview"))</f>
        <v>Preview</v>
      </c>
      <c r="D57" s="91" t="str">
        <f>IF('ASSETS'!$A57="","",'ASSETS'!$I57)</f>
        <v>/assets/projects/datacraft/09-Flexible-workspace.webp</v>
      </c>
      <c r="E57" s="91" t="str">
        <f>IF('ASSETS'!$A57="","",'ASSETS'!$L57)</f>
        <v/>
      </c>
      <c r="F57" s="93" t="str">
        <f>IF('ASSETS'!$A57="","",IF(UPPER('ASSETS'!$H57)&lt;&gt;"TRUE","Disabled",HYPERLINK("http://127.0.0.1:5173/__dev/asset-source"&amp;"?assetId="&amp;ENCODEURL('ASSETS'!$A57)&amp;"&amp;sig="&amp;ENCODEURL('ASSETS'!$B57&amp;"|"&amp;'ASSETS'!$C57&amp;"|"&amp;'ASSETS'!$D57&amp;"|"&amp;'ASSETS'!$E57&amp;"|"&amp;'ASSETS'!$H57),"Open source")))</f>
        <v>Open source</v>
      </c>
      <c r="G57" s="93" t="str">
        <f>IF('ASSETS'!$A57="","",IF(OR(UPPER('ASSETS'!$H57)&lt;&gt;"TRUE",'ASSETS'!$I57=""),"Unavailable",HYPERLINK("http://127.0.0.1:5173/__dev/asset-resolved"&amp;"?assetId="&amp;ENCODEURL('ASSETS'!$A57)&amp;"&amp;sig="&amp;ENCODEURL('ASSETS'!$B57&amp;"|"&amp;'ASSETS'!$C57&amp;"|"&amp;'ASSETS'!$D57&amp;"|"&amp;'ASSETS'!$E57&amp;"|"&amp;'ASSETS'!$H57),"Open resolved")))</f>
        <v>Open resolved</v>
      </c>
    </row>
    <row r="58" ht="86" customHeight="1" spans="1:7" x14ac:dyDescent="0.25">
      <c r="A58" s="90" t="str">
        <f>IF('ASSETS'!$A58="","",HYPERLINK("#'ASSETS'!A58",'ASSETS'!$A58))</f>
        <v>datacraft-video</v>
      </c>
      <c r="B58" s="91" t="str">
        <f>IF('ASSETS'!$A58="","",UPPER('ASSETS'!$B58))</f>
        <v>VIDEO</v>
      </c>
      <c r="C58" s="92" t="str">
        <f>IF('ASSETS'!$A58="","",IMAGE("http://127.0.0.1:5173/__dev/asset-preview"&amp;"?assetId="&amp;ENCODEURL('ASSETS'!$A58)&amp;"&amp;sig="&amp;ENCODEURL('ASSETS'!$B58&amp;"|"&amp;'ASSETS'!$C58&amp;"|"&amp;'ASSETS'!$D58&amp;"|"&amp;'ASSETS'!$E58&amp;"|"&amp;'ASSETS'!$H58),"Preview"))</f>
        <v>Preview</v>
      </c>
      <c r="D58" s="91" t="str">
        <f>IF('ASSETS'!$A58="","",'ASSETS'!$I58)</f>
        <v>/assets/projects/datacraft-demo.mp4</v>
      </c>
      <c r="E58" s="91" t="str">
        <f>IF('ASSETS'!$A58="","",'ASSETS'!$L58)</f>
        <v/>
      </c>
      <c r="F58" s="93" t="str">
        <f>IF('ASSETS'!$A58="","",IF(UPPER('ASSETS'!$H58)&lt;&gt;"TRUE","Disabled",HYPERLINK("http://127.0.0.1:5173/__dev/asset-source"&amp;"?assetId="&amp;ENCODEURL('ASSETS'!$A58)&amp;"&amp;sig="&amp;ENCODEURL('ASSETS'!$B58&amp;"|"&amp;'ASSETS'!$C58&amp;"|"&amp;'ASSETS'!$D58&amp;"|"&amp;'ASSETS'!$E58&amp;"|"&amp;'ASSETS'!$H58),"Open source")))</f>
        <v>Open source</v>
      </c>
      <c r="G58" s="93" t="str">
        <f>IF('ASSETS'!$A58="","",IF(OR(UPPER('ASSETS'!$H58)&lt;&gt;"TRUE",'ASSETS'!$I58=""),"Unavailable",HYPERLINK("http://127.0.0.1:5173/__dev/asset-resolved"&amp;"?assetId="&amp;ENCODEURL('ASSETS'!$A58)&amp;"&amp;sig="&amp;ENCODEURL('ASSETS'!$B58&amp;"|"&amp;'ASSETS'!$C58&amp;"|"&amp;'ASSETS'!$D58&amp;"|"&amp;'ASSETS'!$E58&amp;"|"&amp;'ASSETS'!$H58),"Open resolved")))</f>
        <v>Open resolved</v>
      </c>
    </row>
    <row r="59" ht="86" customHeight="1" spans="1:7" x14ac:dyDescent="0.25">
      <c r="A59" s="90" t="str">
        <f>IF('ASSETS'!$A59="","",HYPERLINK("#'ASSETS'!A59",'ASSETS'!$A59))</f>
        <v/>
      </c>
      <c r="B59" s="91" t="str">
        <f>IF('ASSETS'!$A59="","",UPPER('ASSETS'!$B59))</f>
        <v/>
      </c>
      <c r="C59" s="92" t="str">
        <f>IF('ASSETS'!$A59="","",IMAGE("http://127.0.0.1:5173/__dev/asset-preview"&amp;"?assetId="&amp;ENCODEURL('ASSETS'!$A59)&amp;"&amp;sig="&amp;ENCODEURL('ASSETS'!$B59&amp;"|"&amp;'ASSETS'!$C59&amp;"|"&amp;'ASSETS'!$D59&amp;"|"&amp;'ASSETS'!$E59&amp;"|"&amp;'ASSETS'!$H59),"Preview"))</f>
        <v/>
      </c>
      <c r="D59" s="91" t="str">
        <f>IF('ASSETS'!$A59="","",'ASSETS'!$I59)</f>
        <v/>
      </c>
      <c r="E59" s="91" t="str">
        <f>IF('ASSETS'!$A59="","",'ASSETS'!$L59)</f>
        <v/>
      </c>
      <c r="F59" s="93" t="str">
        <f>IF('ASSETS'!$A59="","",IF(UPPER('ASSETS'!$H59)&lt;&gt;"TRUE","Disabled",HYPERLINK("http://127.0.0.1:5173/__dev/asset-source"&amp;"?assetId="&amp;ENCODEURL('ASSETS'!$A59)&amp;"&amp;sig="&amp;ENCODEURL('ASSETS'!$B59&amp;"|"&amp;'ASSETS'!$C59&amp;"|"&amp;'ASSETS'!$D59&amp;"|"&amp;'ASSETS'!$E59&amp;"|"&amp;'ASSETS'!$H59),"Open source")))</f>
        <v/>
      </c>
      <c r="G59" s="93" t="str">
        <f>IF('ASSETS'!$A59="","",IF(OR(UPPER('ASSETS'!$H59)&lt;&gt;"TRUE",'ASSETS'!$I59=""),"Unavailable",HYPERLINK("http://127.0.0.1:5173/__dev/asset-resolved"&amp;"?assetId="&amp;ENCODEURL('ASSETS'!$A59)&amp;"&amp;sig="&amp;ENCODEURL('ASSETS'!$B59&amp;"|"&amp;'ASSETS'!$C59&amp;"|"&amp;'ASSETS'!$D59&amp;"|"&amp;'ASSETS'!$E59&amp;"|"&amp;'ASSETS'!$H59),"Open resolved")))</f>
        <v/>
      </c>
    </row>
    <row r="60" ht="86" customHeight="1" spans="1:7" x14ac:dyDescent="0.25">
      <c r="A60" s="90" t="str">
        <f>IF('ASSETS'!$A60="","",HYPERLINK("#'ASSETS'!A60",'ASSETS'!$A60))</f>
        <v/>
      </c>
      <c r="B60" s="91" t="str">
        <f>IF('ASSETS'!$A60="","",UPPER('ASSETS'!$B60))</f>
        <v/>
      </c>
      <c r="C60" s="92" t="str">
        <f>IF('ASSETS'!$A60="","",IMAGE("http://127.0.0.1:5173/__dev/asset-preview"&amp;"?assetId="&amp;ENCODEURL('ASSETS'!$A60)&amp;"&amp;sig="&amp;ENCODEURL('ASSETS'!$B60&amp;"|"&amp;'ASSETS'!$C60&amp;"|"&amp;'ASSETS'!$D60&amp;"|"&amp;'ASSETS'!$E60&amp;"|"&amp;'ASSETS'!$H60),"Preview"))</f>
        <v/>
      </c>
      <c r="D60" s="91" t="str">
        <f>IF('ASSETS'!$A60="","",'ASSETS'!$I60)</f>
        <v/>
      </c>
      <c r="E60" s="91" t="str">
        <f>IF('ASSETS'!$A60="","",'ASSETS'!$L60)</f>
        <v/>
      </c>
      <c r="F60" s="93" t="str">
        <f>IF('ASSETS'!$A60="","",IF(UPPER('ASSETS'!$H60)&lt;&gt;"TRUE","Disabled",HYPERLINK("http://127.0.0.1:5173/__dev/asset-source"&amp;"?assetId="&amp;ENCODEURL('ASSETS'!$A60)&amp;"&amp;sig="&amp;ENCODEURL('ASSETS'!$B60&amp;"|"&amp;'ASSETS'!$C60&amp;"|"&amp;'ASSETS'!$D60&amp;"|"&amp;'ASSETS'!$E60&amp;"|"&amp;'ASSETS'!$H60),"Open source")))</f>
        <v/>
      </c>
      <c r="G60" s="93" t="str">
        <f>IF('ASSETS'!$A60="","",IF(OR(UPPER('ASSETS'!$H60)&lt;&gt;"TRUE",'ASSETS'!$I60=""),"Unavailable",HYPERLINK("http://127.0.0.1:5173/__dev/asset-resolved"&amp;"?assetId="&amp;ENCODEURL('ASSETS'!$A60)&amp;"&amp;sig="&amp;ENCODEURL('ASSETS'!$B60&amp;"|"&amp;'ASSETS'!$C60&amp;"|"&amp;'ASSETS'!$D60&amp;"|"&amp;'ASSETS'!$E60&amp;"|"&amp;'ASSETS'!$H60),"Open resolved")))</f>
        <v/>
      </c>
    </row>
    <row r="61" ht="86" customHeight="1" spans="1:7" x14ac:dyDescent="0.25">
      <c r="A61" s="90" t="str">
        <f>IF('ASSETS'!$A61="","",HYPERLINK("#'ASSETS'!A61",'ASSETS'!$A61))</f>
        <v/>
      </c>
      <c r="B61" s="91" t="str">
        <f>IF('ASSETS'!$A61="","",UPPER('ASSETS'!$B61))</f>
        <v/>
      </c>
      <c r="C61" s="92" t="str">
        <f>IF('ASSETS'!$A61="","",IMAGE("http://127.0.0.1:5173/__dev/asset-preview"&amp;"?assetId="&amp;ENCODEURL('ASSETS'!$A61)&amp;"&amp;sig="&amp;ENCODEURL('ASSETS'!$B61&amp;"|"&amp;'ASSETS'!$C61&amp;"|"&amp;'ASSETS'!$D61&amp;"|"&amp;'ASSETS'!$E61&amp;"|"&amp;'ASSETS'!$H61),"Preview"))</f>
        <v/>
      </c>
      <c r="D61" s="91" t="str">
        <f>IF('ASSETS'!$A61="","",'ASSETS'!$I61)</f>
        <v/>
      </c>
      <c r="E61" s="91" t="str">
        <f>IF('ASSETS'!$A61="","",'ASSETS'!$L61)</f>
        <v/>
      </c>
      <c r="F61" s="93" t="str">
        <f>IF('ASSETS'!$A61="","",IF(UPPER('ASSETS'!$H61)&lt;&gt;"TRUE","Disabled",HYPERLINK("http://127.0.0.1:5173/__dev/asset-source"&amp;"?assetId="&amp;ENCODEURL('ASSETS'!$A61)&amp;"&amp;sig="&amp;ENCODEURL('ASSETS'!$B61&amp;"|"&amp;'ASSETS'!$C61&amp;"|"&amp;'ASSETS'!$D61&amp;"|"&amp;'ASSETS'!$E61&amp;"|"&amp;'ASSETS'!$H61),"Open source")))</f>
        <v/>
      </c>
      <c r="G61" s="93" t="str">
        <f>IF('ASSETS'!$A61="","",IF(OR(UPPER('ASSETS'!$H61)&lt;&gt;"TRUE",'ASSETS'!$I61=""),"Unavailable",HYPERLINK("http://127.0.0.1:5173/__dev/asset-resolved"&amp;"?assetId="&amp;ENCODEURL('ASSETS'!$A61)&amp;"&amp;sig="&amp;ENCODEURL('ASSETS'!$B61&amp;"|"&amp;'ASSETS'!$C61&amp;"|"&amp;'ASSETS'!$D61&amp;"|"&amp;'ASSETS'!$E61&amp;"|"&amp;'ASSETS'!$H61),"Open resolved")))</f>
        <v/>
      </c>
    </row>
    <row r="62" ht="86" customHeight="1" spans="1:7" x14ac:dyDescent="0.25">
      <c r="A62" s="90" t="str">
        <f>IF('ASSETS'!$A62="","",HYPERLINK("#'ASSETS'!A62",'ASSETS'!$A62))</f>
        <v/>
      </c>
      <c r="B62" s="91" t="str">
        <f>IF('ASSETS'!$A62="","",UPPER('ASSETS'!$B62))</f>
        <v/>
      </c>
      <c r="C62" s="92" t="str">
        <f>IF('ASSETS'!$A62="","",IMAGE("http://127.0.0.1:5173/__dev/asset-preview"&amp;"?assetId="&amp;ENCODEURL('ASSETS'!$A62)&amp;"&amp;sig="&amp;ENCODEURL('ASSETS'!$B62&amp;"|"&amp;'ASSETS'!$C62&amp;"|"&amp;'ASSETS'!$D62&amp;"|"&amp;'ASSETS'!$E62&amp;"|"&amp;'ASSETS'!$H62),"Preview"))</f>
        <v/>
      </c>
      <c r="D62" s="91" t="str">
        <f>IF('ASSETS'!$A62="","",'ASSETS'!$I62)</f>
        <v/>
      </c>
      <c r="E62" s="91" t="str">
        <f>IF('ASSETS'!$A62="","",'ASSETS'!$L62)</f>
        <v/>
      </c>
      <c r="F62" s="93" t="str">
        <f>IF('ASSETS'!$A62="","",IF(UPPER('ASSETS'!$H62)&lt;&gt;"TRUE","Disabled",HYPERLINK("http://127.0.0.1:5173/__dev/asset-source"&amp;"?assetId="&amp;ENCODEURL('ASSETS'!$A62)&amp;"&amp;sig="&amp;ENCODEURL('ASSETS'!$B62&amp;"|"&amp;'ASSETS'!$C62&amp;"|"&amp;'ASSETS'!$D62&amp;"|"&amp;'ASSETS'!$E62&amp;"|"&amp;'ASSETS'!$H62),"Open source")))</f>
        <v/>
      </c>
      <c r="G62" s="93" t="str">
        <f>IF('ASSETS'!$A62="","",IF(OR(UPPER('ASSETS'!$H62)&lt;&gt;"TRUE",'ASSETS'!$I62=""),"Unavailable",HYPERLINK("http://127.0.0.1:5173/__dev/asset-resolved"&amp;"?assetId="&amp;ENCODEURL('ASSETS'!$A62)&amp;"&amp;sig="&amp;ENCODEURL('ASSETS'!$B62&amp;"|"&amp;'ASSETS'!$C62&amp;"|"&amp;'ASSETS'!$D62&amp;"|"&amp;'ASSETS'!$E62&amp;"|"&amp;'ASSETS'!$H62),"Open resolved")))</f>
        <v/>
      </c>
    </row>
    <row r="63" ht="86" customHeight="1" spans="1:7" x14ac:dyDescent="0.25">
      <c r="A63" s="90" t="str">
        <f>IF('ASSETS'!$A63="","",HYPERLINK("#'ASSETS'!A63",'ASSETS'!$A63))</f>
        <v/>
      </c>
      <c r="B63" s="91" t="str">
        <f>IF('ASSETS'!$A63="","",UPPER('ASSETS'!$B63))</f>
        <v/>
      </c>
      <c r="C63" s="92" t="str">
        <f>IF('ASSETS'!$A63="","",IMAGE("http://127.0.0.1:5173/__dev/asset-preview"&amp;"?assetId="&amp;ENCODEURL('ASSETS'!$A63)&amp;"&amp;sig="&amp;ENCODEURL('ASSETS'!$B63&amp;"|"&amp;'ASSETS'!$C63&amp;"|"&amp;'ASSETS'!$D63&amp;"|"&amp;'ASSETS'!$E63&amp;"|"&amp;'ASSETS'!$H63),"Preview"))</f>
        <v/>
      </c>
      <c r="D63" s="91" t="str">
        <f>IF('ASSETS'!$A63="","",'ASSETS'!$I63)</f>
        <v/>
      </c>
      <c r="E63" s="91" t="str">
        <f>IF('ASSETS'!$A63="","",'ASSETS'!$L63)</f>
        <v/>
      </c>
      <c r="F63" s="93" t="str">
        <f>IF('ASSETS'!$A63="","",IF(UPPER('ASSETS'!$H63)&lt;&gt;"TRUE","Disabled",HYPERLINK("http://127.0.0.1:5173/__dev/asset-source"&amp;"?assetId="&amp;ENCODEURL('ASSETS'!$A63)&amp;"&amp;sig="&amp;ENCODEURL('ASSETS'!$B63&amp;"|"&amp;'ASSETS'!$C63&amp;"|"&amp;'ASSETS'!$D63&amp;"|"&amp;'ASSETS'!$E63&amp;"|"&amp;'ASSETS'!$H63),"Open source")))</f>
        <v/>
      </c>
      <c r="G63" s="93" t="str">
        <f>IF('ASSETS'!$A63="","",IF(OR(UPPER('ASSETS'!$H63)&lt;&gt;"TRUE",'ASSETS'!$I63=""),"Unavailable",HYPERLINK("http://127.0.0.1:5173/__dev/asset-resolved"&amp;"?assetId="&amp;ENCODEURL('ASSETS'!$A63)&amp;"&amp;sig="&amp;ENCODEURL('ASSETS'!$B63&amp;"|"&amp;'ASSETS'!$C63&amp;"|"&amp;'ASSETS'!$D63&amp;"|"&amp;'ASSETS'!$E63&amp;"|"&amp;'ASSETS'!$H63),"Open resolved")))</f>
        <v/>
      </c>
    </row>
    <row r="64" ht="86" customHeight="1" spans="1:7" x14ac:dyDescent="0.25">
      <c r="A64" s="90" t="str">
        <f>IF('ASSETS'!$A64="","",HYPERLINK("#'ASSETS'!A64",'ASSETS'!$A64))</f>
        <v/>
      </c>
      <c r="B64" s="91" t="str">
        <f>IF('ASSETS'!$A64="","",UPPER('ASSETS'!$B64))</f>
        <v/>
      </c>
      <c r="C64" s="92" t="str">
        <f>IF('ASSETS'!$A64="","",IMAGE("http://127.0.0.1:5173/__dev/asset-preview"&amp;"?assetId="&amp;ENCODEURL('ASSETS'!$A64)&amp;"&amp;sig="&amp;ENCODEURL('ASSETS'!$B64&amp;"|"&amp;'ASSETS'!$C64&amp;"|"&amp;'ASSETS'!$D64&amp;"|"&amp;'ASSETS'!$E64&amp;"|"&amp;'ASSETS'!$H64),"Preview"))</f>
        <v/>
      </c>
      <c r="D64" s="91" t="str">
        <f>IF('ASSETS'!$A64="","",'ASSETS'!$I64)</f>
        <v/>
      </c>
      <c r="E64" s="91" t="str">
        <f>IF('ASSETS'!$A64="","",'ASSETS'!$L64)</f>
        <v/>
      </c>
      <c r="F64" s="93" t="str">
        <f>IF('ASSETS'!$A64="","",IF(UPPER('ASSETS'!$H64)&lt;&gt;"TRUE","Disabled",HYPERLINK("http://127.0.0.1:5173/__dev/asset-source"&amp;"?assetId="&amp;ENCODEURL('ASSETS'!$A64)&amp;"&amp;sig="&amp;ENCODEURL('ASSETS'!$B64&amp;"|"&amp;'ASSETS'!$C64&amp;"|"&amp;'ASSETS'!$D64&amp;"|"&amp;'ASSETS'!$E64&amp;"|"&amp;'ASSETS'!$H64),"Open source")))</f>
        <v/>
      </c>
      <c r="G64" s="93" t="str">
        <f>IF('ASSETS'!$A64="","",IF(OR(UPPER('ASSETS'!$H64)&lt;&gt;"TRUE",'ASSETS'!$I64=""),"Unavailable",HYPERLINK("http://127.0.0.1:5173/__dev/asset-resolved"&amp;"?assetId="&amp;ENCODEURL('ASSETS'!$A64)&amp;"&amp;sig="&amp;ENCODEURL('ASSETS'!$B64&amp;"|"&amp;'ASSETS'!$C64&amp;"|"&amp;'ASSETS'!$D64&amp;"|"&amp;'ASSETS'!$E64&amp;"|"&amp;'ASSETS'!$H64),"Open resolved")))</f>
        <v/>
      </c>
    </row>
    <row r="65" ht="86" customHeight="1" spans="1:7" x14ac:dyDescent="0.25">
      <c r="A65" s="90" t="str">
        <f>IF('ASSETS'!$A65="","",HYPERLINK("#'ASSETS'!A65",'ASSETS'!$A65))</f>
        <v/>
      </c>
      <c r="B65" s="91" t="str">
        <f>IF('ASSETS'!$A65="","",UPPER('ASSETS'!$B65))</f>
        <v/>
      </c>
      <c r="C65" s="92" t="str">
        <f>IF('ASSETS'!$A65="","",IMAGE("http://127.0.0.1:5173/__dev/asset-preview"&amp;"?assetId="&amp;ENCODEURL('ASSETS'!$A65)&amp;"&amp;sig="&amp;ENCODEURL('ASSETS'!$B65&amp;"|"&amp;'ASSETS'!$C65&amp;"|"&amp;'ASSETS'!$D65&amp;"|"&amp;'ASSETS'!$E65&amp;"|"&amp;'ASSETS'!$H65),"Preview"))</f>
        <v/>
      </c>
      <c r="D65" s="91" t="str">
        <f>IF('ASSETS'!$A65="","",'ASSETS'!$I65)</f>
        <v/>
      </c>
      <c r="E65" s="91" t="str">
        <f>IF('ASSETS'!$A65="","",'ASSETS'!$L65)</f>
        <v/>
      </c>
      <c r="F65" s="93" t="str">
        <f>IF('ASSETS'!$A65="","",IF(UPPER('ASSETS'!$H65)&lt;&gt;"TRUE","Disabled",HYPERLINK("http://127.0.0.1:5173/__dev/asset-source"&amp;"?assetId="&amp;ENCODEURL('ASSETS'!$A65)&amp;"&amp;sig="&amp;ENCODEURL('ASSETS'!$B65&amp;"|"&amp;'ASSETS'!$C65&amp;"|"&amp;'ASSETS'!$D65&amp;"|"&amp;'ASSETS'!$E65&amp;"|"&amp;'ASSETS'!$H65),"Open source")))</f>
        <v/>
      </c>
      <c r="G65" s="93" t="str">
        <f>IF('ASSETS'!$A65="","",IF(OR(UPPER('ASSETS'!$H65)&lt;&gt;"TRUE",'ASSETS'!$I65=""),"Unavailable",HYPERLINK("http://127.0.0.1:5173/__dev/asset-resolved"&amp;"?assetId="&amp;ENCODEURL('ASSETS'!$A65)&amp;"&amp;sig="&amp;ENCODEURL('ASSETS'!$B65&amp;"|"&amp;'ASSETS'!$C65&amp;"|"&amp;'ASSETS'!$D65&amp;"|"&amp;'ASSETS'!$E65&amp;"|"&amp;'ASSETS'!$H65),"Open resolved")))</f>
        <v/>
      </c>
    </row>
    <row r="66" ht="86" customHeight="1" spans="1:7" x14ac:dyDescent="0.25">
      <c r="A66" s="90" t="str">
        <f>IF('ASSETS'!$A66="","",HYPERLINK("#'ASSETS'!A66",'ASSETS'!$A66))</f>
        <v/>
      </c>
      <c r="B66" s="91" t="str">
        <f>IF('ASSETS'!$A66="","",UPPER('ASSETS'!$B66))</f>
        <v/>
      </c>
      <c r="C66" s="92" t="str">
        <f>IF('ASSETS'!$A66="","",IMAGE("http://127.0.0.1:5173/__dev/asset-preview"&amp;"?assetId="&amp;ENCODEURL('ASSETS'!$A66)&amp;"&amp;sig="&amp;ENCODEURL('ASSETS'!$B66&amp;"|"&amp;'ASSETS'!$C66&amp;"|"&amp;'ASSETS'!$D66&amp;"|"&amp;'ASSETS'!$E66&amp;"|"&amp;'ASSETS'!$H66),"Preview"))</f>
        <v/>
      </c>
      <c r="D66" s="91" t="str">
        <f>IF('ASSETS'!$A66="","",'ASSETS'!$I66)</f>
        <v/>
      </c>
      <c r="E66" s="91" t="str">
        <f>IF('ASSETS'!$A66="","",'ASSETS'!$L66)</f>
        <v/>
      </c>
      <c r="F66" s="93" t="str">
        <f>IF('ASSETS'!$A66="","",IF(UPPER('ASSETS'!$H66)&lt;&gt;"TRUE","Disabled",HYPERLINK("http://127.0.0.1:5173/__dev/asset-source"&amp;"?assetId="&amp;ENCODEURL('ASSETS'!$A66)&amp;"&amp;sig="&amp;ENCODEURL('ASSETS'!$B66&amp;"|"&amp;'ASSETS'!$C66&amp;"|"&amp;'ASSETS'!$D66&amp;"|"&amp;'ASSETS'!$E66&amp;"|"&amp;'ASSETS'!$H66),"Open source")))</f>
        <v/>
      </c>
      <c r="G66" s="93" t="str">
        <f>IF('ASSETS'!$A66="","",IF(OR(UPPER('ASSETS'!$H66)&lt;&gt;"TRUE",'ASSETS'!$I66=""),"Unavailable",HYPERLINK("http://127.0.0.1:5173/__dev/asset-resolved"&amp;"?assetId="&amp;ENCODEURL('ASSETS'!$A66)&amp;"&amp;sig="&amp;ENCODEURL('ASSETS'!$B66&amp;"|"&amp;'ASSETS'!$C66&amp;"|"&amp;'ASSETS'!$D66&amp;"|"&amp;'ASSETS'!$E66&amp;"|"&amp;'ASSETS'!$H66),"Open resolved")))</f>
        <v/>
      </c>
    </row>
    <row r="67" ht="86" customHeight="1" spans="1:7" x14ac:dyDescent="0.25">
      <c r="A67" s="90" t="str">
        <f>IF('ASSETS'!$A67="","",HYPERLINK("#'ASSETS'!A67",'ASSETS'!$A67))</f>
        <v/>
      </c>
      <c r="B67" s="91" t="str">
        <f>IF('ASSETS'!$A67="","",UPPER('ASSETS'!$B67))</f>
        <v/>
      </c>
      <c r="C67" s="92" t="str">
        <f>IF('ASSETS'!$A67="","",IMAGE("http://127.0.0.1:5173/__dev/asset-preview"&amp;"?assetId="&amp;ENCODEURL('ASSETS'!$A67)&amp;"&amp;sig="&amp;ENCODEURL('ASSETS'!$B67&amp;"|"&amp;'ASSETS'!$C67&amp;"|"&amp;'ASSETS'!$D67&amp;"|"&amp;'ASSETS'!$E67&amp;"|"&amp;'ASSETS'!$H67),"Preview"))</f>
        <v/>
      </c>
      <c r="D67" s="91" t="str">
        <f>IF('ASSETS'!$A67="","",'ASSETS'!$I67)</f>
        <v/>
      </c>
      <c r="E67" s="91" t="str">
        <f>IF('ASSETS'!$A67="","",'ASSETS'!$L67)</f>
        <v/>
      </c>
      <c r="F67" s="93" t="str">
        <f>IF('ASSETS'!$A67="","",IF(UPPER('ASSETS'!$H67)&lt;&gt;"TRUE","Disabled",HYPERLINK("http://127.0.0.1:5173/__dev/asset-source"&amp;"?assetId="&amp;ENCODEURL('ASSETS'!$A67)&amp;"&amp;sig="&amp;ENCODEURL('ASSETS'!$B67&amp;"|"&amp;'ASSETS'!$C67&amp;"|"&amp;'ASSETS'!$D67&amp;"|"&amp;'ASSETS'!$E67&amp;"|"&amp;'ASSETS'!$H67),"Open source")))</f>
        <v/>
      </c>
      <c r="G67" s="93" t="str">
        <f>IF('ASSETS'!$A67="","",IF(OR(UPPER('ASSETS'!$H67)&lt;&gt;"TRUE",'ASSETS'!$I67=""),"Unavailable",HYPERLINK("http://127.0.0.1:5173/__dev/asset-resolved"&amp;"?assetId="&amp;ENCODEURL('ASSETS'!$A67)&amp;"&amp;sig="&amp;ENCODEURL('ASSETS'!$B67&amp;"|"&amp;'ASSETS'!$C67&amp;"|"&amp;'ASSETS'!$D67&amp;"|"&amp;'ASSETS'!$E67&amp;"|"&amp;'ASSETS'!$H67),"Open resolved")))</f>
        <v/>
      </c>
    </row>
    <row r="68" ht="86" customHeight="1" spans="1:7" x14ac:dyDescent="0.25">
      <c r="A68" s="90" t="str">
        <f>IF('ASSETS'!$A68="","",HYPERLINK("#'ASSETS'!A68",'ASSETS'!$A68))</f>
        <v/>
      </c>
      <c r="B68" s="91" t="str">
        <f>IF('ASSETS'!$A68="","",UPPER('ASSETS'!$B68))</f>
        <v/>
      </c>
      <c r="C68" s="92" t="str">
        <f>IF('ASSETS'!$A68="","",IMAGE("http://127.0.0.1:5173/__dev/asset-preview"&amp;"?assetId="&amp;ENCODEURL('ASSETS'!$A68)&amp;"&amp;sig="&amp;ENCODEURL('ASSETS'!$B68&amp;"|"&amp;'ASSETS'!$C68&amp;"|"&amp;'ASSETS'!$D68&amp;"|"&amp;'ASSETS'!$E68&amp;"|"&amp;'ASSETS'!$H68),"Preview"))</f>
        <v/>
      </c>
      <c r="D68" s="91" t="str">
        <f>IF('ASSETS'!$A68="","",'ASSETS'!$I68)</f>
        <v/>
      </c>
      <c r="E68" s="91" t="str">
        <f>IF('ASSETS'!$A68="","",'ASSETS'!$L68)</f>
        <v/>
      </c>
      <c r="F68" s="93" t="str">
        <f>IF('ASSETS'!$A68="","",IF(UPPER('ASSETS'!$H68)&lt;&gt;"TRUE","Disabled",HYPERLINK("http://127.0.0.1:5173/__dev/asset-source"&amp;"?assetId="&amp;ENCODEURL('ASSETS'!$A68)&amp;"&amp;sig="&amp;ENCODEURL('ASSETS'!$B68&amp;"|"&amp;'ASSETS'!$C68&amp;"|"&amp;'ASSETS'!$D68&amp;"|"&amp;'ASSETS'!$E68&amp;"|"&amp;'ASSETS'!$H68),"Open source")))</f>
        <v/>
      </c>
      <c r="G68" s="93" t="str">
        <f>IF('ASSETS'!$A68="","",IF(OR(UPPER('ASSETS'!$H68)&lt;&gt;"TRUE",'ASSETS'!$I68=""),"Unavailable",HYPERLINK("http://127.0.0.1:5173/__dev/asset-resolved"&amp;"?assetId="&amp;ENCODEURL('ASSETS'!$A68)&amp;"&amp;sig="&amp;ENCODEURL('ASSETS'!$B68&amp;"|"&amp;'ASSETS'!$C68&amp;"|"&amp;'ASSETS'!$D68&amp;"|"&amp;'ASSETS'!$E68&amp;"|"&amp;'ASSETS'!$H68),"Open resolved")))</f>
        <v/>
      </c>
    </row>
  </sheetData>
  <autoFilter ref="A8:G8"/>
  <mergeCells count="5">
    <mergeCell ref="A1:G1"/>
    <mergeCell ref="A2:G2"/>
    <mergeCell ref="A3:G3"/>
    <mergeCell ref="A5:G5"/>
    <mergeCell ref="A7:G7"/>
  </mergeCells>
  <hyperlinks>
    <hyperlink ref="A4" r:id="rId1" tooltip="Back to HOME -&gt; HOME" location="#'HOME'!A1"/>
    <hyperlink ref="B4" r:id="rId2" tooltip="Guide -&gt; README" location="#'README'!A1"/>
    <hyperlink ref="C4" r:id="rId3" tooltip="Prev: Assets -&gt; ASSETS" location="#'ASSETS'!A1"/>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E20"/>
  <sheetViews>
    <sheetView workbookViewId="0" showGridLines="0">
      <pane ySplit="8" topLeftCell="A9" activePane="bottomLeft" state="frozen"/>
      <selection pane="bottomLeft"/>
    </sheetView>
  </sheetViews>
  <sheetFormatPr defaultRowHeight="22" outlineLevelRow="0" outlineLevelCol="0" x14ac:dyDescent="55" customHeight="1"/>
  <cols>
    <col min="1" max="3" width="18" style="53" customWidth="1"/>
    <col min="4" max="4" width="24" style="53" customWidth="1"/>
    <col min="5" max="5" width="20" style="53" customWidth="1"/>
  </cols>
  <sheetData>
    <row r="1" ht="28" customHeight="1" spans="1:5" x14ac:dyDescent="0.25">
      <c r="A1" s="55" t="s">
        <v>42</v>
      </c>
      <c r="B1" s="55"/>
      <c r="C1" s="55"/>
      <c r="D1" s="55"/>
      <c r="E1" s="55"/>
    </row>
    <row r="2" ht="22" customHeight="1" spans="1:5" x14ac:dyDescent="0.25">
      <c r="A2" s="56" t="s">
        <v>606</v>
      </c>
      <c r="B2" s="56"/>
      <c r="C2" s="56"/>
      <c r="D2" s="56"/>
      <c r="E2" s="56"/>
    </row>
    <row r="3" ht="20" customHeight="1" spans="1:5" x14ac:dyDescent="0.25">
      <c r="A3" s="94" t="s">
        <v>607</v>
      </c>
      <c r="B3" s="94"/>
      <c r="C3" s="94"/>
      <c r="D3" s="94"/>
      <c r="E3" s="94"/>
    </row>
    <row r="4" ht="20" customHeight="1" spans="1:5" x14ac:dyDescent="0.25">
      <c r="A4" s="95" t="s">
        <v>61</v>
      </c>
      <c r="B4" s="95" t="s">
        <v>194</v>
      </c>
      <c r="C4" s="95" t="s">
        <v>47</v>
      </c>
      <c r="D4" s="95" t="s">
        <v>78</v>
      </c>
      <c r="E4" s="63"/>
    </row>
    <row r="5" ht="20" customHeight="1" spans="1:5" x14ac:dyDescent="0.25">
      <c r="A5" s="4" t="s">
        <v>608</v>
      </c>
      <c r="B5" s="4"/>
      <c r="C5" s="4"/>
      <c r="D5" s="4"/>
      <c r="E5" s="4"/>
    </row>
    <row r="6" ht="18" customHeight="1" spans="1:5" x14ac:dyDescent="0.25">
      <c r="A6" s="58" t="s">
        <v>198</v>
      </c>
      <c r="B6" s="59" t="s">
        <v>199</v>
      </c>
      <c r="C6" s="60" t="s">
        <v>200</v>
      </c>
      <c r="D6" s="61" t="s">
        <v>201</v>
      </c>
      <c r="E6" s="63"/>
    </row>
    <row r="7" ht="22" customHeight="1" spans="1:5" x14ac:dyDescent="0.25">
      <c r="A7" s="64" t="s">
        <v>202</v>
      </c>
      <c r="B7" s="64"/>
      <c r="C7" s="64"/>
      <c r="D7" s="64"/>
      <c r="E7" s="64"/>
    </row>
    <row r="8" spans="1:5" x14ac:dyDescent="0.25">
      <c r="A8" s="65" t="s">
        <v>609</v>
      </c>
      <c r="B8" s="65" t="s">
        <v>610</v>
      </c>
      <c r="C8" s="65" t="s">
        <v>611</v>
      </c>
      <c r="D8" s="65" t="s">
        <v>612</v>
      </c>
      <c r="E8" s="67" t="s">
        <v>216</v>
      </c>
    </row>
    <row r="9" spans="1:5" x14ac:dyDescent="0.25">
      <c r="A9" s="68" t="s">
        <v>613</v>
      </c>
      <c r="B9" s="68" t="s">
        <v>614</v>
      </c>
      <c r="C9" s="68" t="s">
        <v>44</v>
      </c>
      <c r="D9" s="68" t="s">
        <v>615</v>
      </c>
      <c r="E9" s="71" t="s">
        <v>228</v>
      </c>
    </row>
    <row r="10" spans="1:5" x14ac:dyDescent="0.25">
      <c r="A10" s="72"/>
      <c r="B10" s="72"/>
      <c r="C10" s="72"/>
      <c r="D10" s="72"/>
      <c r="E10" s="74"/>
    </row>
    <row r="11" spans="1:5" x14ac:dyDescent="0.25">
      <c r="A11" s="68"/>
      <c r="B11" s="68"/>
      <c r="C11" s="68"/>
      <c r="D11" s="68"/>
      <c r="E11" s="74"/>
    </row>
    <row r="12" spans="1:5" x14ac:dyDescent="0.25">
      <c r="A12" s="72"/>
      <c r="B12" s="72"/>
      <c r="C12" s="72"/>
      <c r="D12" s="72"/>
      <c r="E12" s="74"/>
    </row>
    <row r="13" spans="1:5" x14ac:dyDescent="0.25">
      <c r="A13" s="63"/>
      <c r="B13" s="63"/>
      <c r="C13" s="63"/>
      <c r="D13" s="63"/>
      <c r="E13" s="63"/>
    </row>
    <row r="14" spans="1:5" x14ac:dyDescent="0.25">
      <c r="A14" s="63"/>
      <c r="B14" s="63"/>
      <c r="C14" s="63"/>
      <c r="D14" s="63"/>
      <c r="E14" s="63"/>
    </row>
    <row r="15" spans="1:5" x14ac:dyDescent="0.25">
      <c r="A15" s="63"/>
      <c r="B15" s="63"/>
      <c r="C15" s="63"/>
      <c r="D15" s="63"/>
      <c r="E15" s="63"/>
    </row>
    <row r="16" spans="1:5" x14ac:dyDescent="0.25">
      <c r="A16" s="63"/>
      <c r="B16" s="63"/>
      <c r="C16" s="63"/>
      <c r="D16" s="63"/>
      <c r="E16" s="63"/>
    </row>
    <row r="17" spans="1:5" x14ac:dyDescent="0.25">
      <c r="A17" s="63"/>
      <c r="B17" s="63"/>
      <c r="C17" s="63"/>
      <c r="D17" s="63"/>
      <c r="E17" s="63"/>
    </row>
    <row r="18" spans="1:5" x14ac:dyDescent="0.25">
      <c r="A18" s="63"/>
      <c r="B18" s="63"/>
      <c r="C18" s="63"/>
      <c r="D18" s="63"/>
      <c r="E18" s="63"/>
    </row>
    <row r="19" spans="1:5" x14ac:dyDescent="0.25">
      <c r="A19" s="63"/>
      <c r="B19" s="63"/>
      <c r="C19" s="63"/>
      <c r="D19" s="63"/>
      <c r="E19" s="63"/>
    </row>
    <row r="20" spans="1:5" x14ac:dyDescent="0.25">
      <c r="A20" s="63"/>
      <c r="B20" s="63"/>
      <c r="C20" s="63"/>
      <c r="D20" s="63"/>
      <c r="E20" s="63"/>
    </row>
  </sheetData>
  <autoFilter ref="A8:E8"/>
  <mergeCells count="5">
    <mergeCell ref="A1:E1"/>
    <mergeCell ref="A2:E2"/>
    <mergeCell ref="A3:E3"/>
    <mergeCell ref="A5:E5"/>
    <mergeCell ref="A7:E7"/>
  </mergeCells>
  <hyperlinks>
    <hyperlink ref="A4" r:id="rId1" tooltip="Back to HOME -&gt; HOME" location="#'HOME'!A1"/>
    <hyperlink ref="B4" r:id="rId2" tooltip="Guide -&gt; README" location="#'README'!A1"/>
    <hyperlink ref="C4" r:id="rId3" tooltip="Navigation -&gt; NAVIGATION" location="#'NAVIGATION'!A8"/>
    <hyperlink ref="D4" r:id="rId4" tooltip="Hero -&gt; HERO" location="#'HERO'!A8"/>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F25"/>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18" style="53" customWidth="1"/>
    <col min="2" max="2" width="20" style="53" customWidth="1"/>
    <col min="3" max="3" width="24" style="53" customWidth="1"/>
    <col min="4" max="4" width="12" style="53" customWidth="1"/>
    <col min="5" max="5" width="10" style="53" customWidth="1"/>
    <col min="6" max="6" width="20" style="53" customWidth="1"/>
  </cols>
  <sheetData>
    <row r="1" ht="28" customHeight="1" spans="1:6" x14ac:dyDescent="0.25">
      <c r="A1" s="55" t="s">
        <v>47</v>
      </c>
      <c r="B1" s="55"/>
      <c r="C1" s="55"/>
      <c r="D1" s="55"/>
      <c r="E1" s="55"/>
      <c r="F1" s="55"/>
    </row>
    <row r="2" ht="22" customHeight="1" spans="1:6" x14ac:dyDescent="0.25">
      <c r="A2" s="56" t="s">
        <v>616</v>
      </c>
      <c r="B2" s="56"/>
      <c r="C2" s="56"/>
      <c r="D2" s="56"/>
      <c r="E2" s="56"/>
      <c r="F2" s="56"/>
    </row>
    <row r="3" ht="20" customHeight="1" spans="1:6" x14ac:dyDescent="0.25">
      <c r="A3" s="94" t="s">
        <v>607</v>
      </c>
      <c r="B3" s="94"/>
      <c r="C3" s="94"/>
      <c r="D3" s="94"/>
      <c r="E3" s="94"/>
      <c r="F3" s="94"/>
    </row>
    <row r="4" ht="20" customHeight="1" spans="1:6" x14ac:dyDescent="0.25">
      <c r="A4" s="95" t="s">
        <v>61</v>
      </c>
      <c r="B4" s="95" t="s">
        <v>194</v>
      </c>
      <c r="C4" s="95" t="s">
        <v>42</v>
      </c>
      <c r="D4" s="95" t="s">
        <v>78</v>
      </c>
      <c r="E4" s="63"/>
      <c r="F4" s="63"/>
    </row>
    <row r="5" ht="20" customHeight="1" spans="1:6" x14ac:dyDescent="0.25">
      <c r="A5" s="4" t="s">
        <v>608</v>
      </c>
      <c r="B5" s="4"/>
      <c r="C5" s="4"/>
      <c r="D5" s="4"/>
      <c r="E5" s="4"/>
      <c r="F5" s="4"/>
    </row>
    <row r="6" ht="18" customHeight="1" spans="1:6" x14ac:dyDescent="0.25">
      <c r="A6" s="58" t="s">
        <v>198</v>
      </c>
      <c r="B6" s="59" t="s">
        <v>199</v>
      </c>
      <c r="C6" s="60" t="s">
        <v>200</v>
      </c>
      <c r="D6" s="61" t="s">
        <v>201</v>
      </c>
      <c r="E6" s="63"/>
      <c r="F6" s="63"/>
    </row>
    <row r="7" ht="22" customHeight="1" spans="1:6" x14ac:dyDescent="0.25">
      <c r="A7" s="64" t="s">
        <v>202</v>
      </c>
      <c r="B7" s="64"/>
      <c r="C7" s="64"/>
      <c r="D7" s="64"/>
      <c r="E7" s="64"/>
      <c r="F7" s="64"/>
    </row>
    <row r="8" spans="1:6" x14ac:dyDescent="0.25">
      <c r="A8" s="65" t="s">
        <v>253</v>
      </c>
      <c r="B8" s="65" t="s">
        <v>203</v>
      </c>
      <c r="C8" s="65" t="s">
        <v>617</v>
      </c>
      <c r="D8" s="65" t="s">
        <v>273</v>
      </c>
      <c r="E8" s="65" t="s">
        <v>272</v>
      </c>
      <c r="F8" s="67" t="s">
        <v>216</v>
      </c>
    </row>
    <row r="9" spans="1:6" x14ac:dyDescent="0.25">
      <c r="A9" s="68" t="s">
        <v>618</v>
      </c>
      <c r="B9" s="68" t="s">
        <v>619</v>
      </c>
      <c r="C9" s="68" t="s">
        <v>620</v>
      </c>
      <c r="D9" s="76" t="s">
        <v>98</v>
      </c>
      <c r="E9" s="68">
        <v>1</v>
      </c>
      <c r="F9" s="71" t="s">
        <v>621</v>
      </c>
    </row>
    <row r="10" spans="1:6" x14ac:dyDescent="0.25">
      <c r="A10" s="72" t="s">
        <v>111</v>
      </c>
      <c r="B10" s="72" t="s">
        <v>622</v>
      </c>
      <c r="C10" s="72" t="s">
        <v>623</v>
      </c>
      <c r="D10" s="77" t="s">
        <v>98</v>
      </c>
      <c r="E10" s="72">
        <v>2</v>
      </c>
      <c r="F10" s="71" t="s">
        <v>621</v>
      </c>
    </row>
    <row r="11" spans="1:6" x14ac:dyDescent="0.25">
      <c r="A11" s="68" t="s">
        <v>123</v>
      </c>
      <c r="B11" s="68" t="s">
        <v>624</v>
      </c>
      <c r="C11" s="68" t="s">
        <v>625</v>
      </c>
      <c r="D11" s="76" t="s">
        <v>98</v>
      </c>
      <c r="E11" s="68">
        <v>3</v>
      </c>
      <c r="F11" s="71" t="s">
        <v>621</v>
      </c>
    </row>
    <row r="12" spans="1:6" x14ac:dyDescent="0.25">
      <c r="A12" s="72" t="s">
        <v>626</v>
      </c>
      <c r="B12" s="72" t="s">
        <v>627</v>
      </c>
      <c r="C12" s="72" t="s">
        <v>628</v>
      </c>
      <c r="D12" s="77" t="s">
        <v>98</v>
      </c>
      <c r="E12" s="72">
        <v>4</v>
      </c>
      <c r="F12" s="71" t="s">
        <v>621</v>
      </c>
    </row>
    <row r="13" spans="1:6" x14ac:dyDescent="0.25">
      <c r="A13" s="68" t="s">
        <v>141</v>
      </c>
      <c r="B13" s="68" t="s">
        <v>629</v>
      </c>
      <c r="C13" s="68" t="s">
        <v>630</v>
      </c>
      <c r="D13" s="76" t="s">
        <v>112</v>
      </c>
      <c r="E13" s="68">
        <v>5</v>
      </c>
      <c r="F13" s="71" t="s">
        <v>631</v>
      </c>
    </row>
    <row r="14" spans="1:6" x14ac:dyDescent="0.25">
      <c r="A14" s="72" t="s">
        <v>632</v>
      </c>
      <c r="B14" s="72" t="s">
        <v>79</v>
      </c>
      <c r="C14" s="72" t="s">
        <v>633</v>
      </c>
      <c r="D14" s="77" t="s">
        <v>98</v>
      </c>
      <c r="E14" s="72">
        <v>6</v>
      </c>
      <c r="F14" s="71" t="s">
        <v>621</v>
      </c>
    </row>
    <row r="15" spans="1:6" x14ac:dyDescent="0.25">
      <c r="A15" s="68"/>
      <c r="B15" s="68"/>
      <c r="C15" s="68"/>
      <c r="D15" s="76"/>
      <c r="E15" s="68"/>
      <c r="F15" s="74"/>
    </row>
    <row r="16" spans="1:6" x14ac:dyDescent="0.25">
      <c r="A16" s="72"/>
      <c r="B16" s="72"/>
      <c r="C16" s="72"/>
      <c r="D16" s="77"/>
      <c r="E16" s="72"/>
      <c r="F16" s="74"/>
    </row>
    <row r="17" spans="1:6" x14ac:dyDescent="0.25">
      <c r="A17" s="68"/>
      <c r="B17" s="68"/>
      <c r="C17" s="68"/>
      <c r="D17" s="76"/>
      <c r="E17" s="68"/>
      <c r="F17" s="74"/>
    </row>
    <row r="18" spans="1:6" x14ac:dyDescent="0.25">
      <c r="A18" s="72"/>
      <c r="B18" s="72"/>
      <c r="C18" s="72"/>
      <c r="D18" s="77"/>
      <c r="E18" s="72"/>
      <c r="F18" s="74"/>
    </row>
    <row r="19" spans="1:6" x14ac:dyDescent="0.25">
      <c r="A19" s="68"/>
      <c r="B19" s="68"/>
      <c r="C19" s="68"/>
      <c r="D19" s="76"/>
      <c r="E19" s="68"/>
      <c r="F19" s="74"/>
    </row>
    <row r="20" spans="1:6" x14ac:dyDescent="0.25">
      <c r="A20" s="72"/>
      <c r="B20" s="72"/>
      <c r="C20" s="72"/>
      <c r="D20" s="77"/>
      <c r="E20" s="72"/>
      <c r="F20" s="74"/>
    </row>
    <row r="21" spans="1:6" x14ac:dyDescent="0.25">
      <c r="A21" s="63"/>
      <c r="B21" s="63"/>
      <c r="C21" s="63"/>
      <c r="D21" s="63"/>
      <c r="E21" s="63"/>
      <c r="F21" s="63"/>
    </row>
    <row r="22" spans="1:6" x14ac:dyDescent="0.25">
      <c r="A22" s="63"/>
      <c r="B22" s="63"/>
      <c r="C22" s="63"/>
      <c r="D22" s="63"/>
      <c r="E22" s="63"/>
      <c r="F22" s="63"/>
    </row>
    <row r="23" spans="1:6" x14ac:dyDescent="0.25">
      <c r="A23" s="63"/>
      <c r="B23" s="63"/>
      <c r="C23" s="63"/>
      <c r="D23" s="63"/>
      <c r="E23" s="63"/>
      <c r="F23" s="63"/>
    </row>
    <row r="24" spans="1:6" x14ac:dyDescent="0.25">
      <c r="A24" s="63"/>
      <c r="B24" s="63"/>
      <c r="C24" s="63"/>
      <c r="D24" s="63"/>
      <c r="E24" s="63"/>
      <c r="F24" s="63"/>
    </row>
    <row r="25" spans="1:6" x14ac:dyDescent="0.25">
      <c r="A25" s="63"/>
      <c r="B25" s="63"/>
      <c r="C25" s="63"/>
      <c r="D25" s="63"/>
      <c r="E25" s="63"/>
      <c r="F25" s="63"/>
    </row>
  </sheetData>
  <autoFilter ref="A8:F8"/>
  <mergeCells count="5">
    <mergeCell ref="A1:F1"/>
    <mergeCell ref="A2:F2"/>
    <mergeCell ref="A3:F3"/>
    <mergeCell ref="A5:F5"/>
    <mergeCell ref="A7:F7"/>
  </mergeCells>
  <dataValidations count="4">
    <dataValidation type="list" allowBlank="1" sqref="D10:D20">
      <formula1>'_LOOKUPS'!$A$2:$A$3</formula1>
    </dataValidation>
    <dataValidation type="list" allowBlank="1" sqref="D9:D20">
      <formula1>'_LOOKUPS'!$A$2:$A$3</formula1>
    </dataValidation>
    <dataValidation type="whole" operator="greaterThan" allowBlank="1" sqref="E10:E20">
      <formula1>0</formula1>
    </dataValidation>
    <dataValidation type="whole" operator="greaterThan" allowBlank="1" sqref="E9:E20">
      <formula1>0</formula1>
    </dataValidation>
  </dataValidations>
  <hyperlinks>
    <hyperlink ref="A4" r:id="rId1" tooltip="Back to HOME -&gt; HOME" location="#'HOME'!A1"/>
    <hyperlink ref="B4" r:id="rId2" tooltip="Guide -&gt; README" location="#'README'!A1"/>
    <hyperlink ref="C4" r:id="rId3" tooltip="Navigation Config -&gt; NAVIGATION_CONFIG" location="#'NAVIGATION_CONFIG'!A8"/>
    <hyperlink ref="D4" r:id="rId4" tooltip="Hero -&gt; HERO" location="#'HERO'!A8"/>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D22"/>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18" style="53" customWidth="1"/>
    <col min="2" max="2" width="96" style="54" customWidth="1"/>
    <col min="3" max="3" width="10" style="53" customWidth="1"/>
    <col min="4" max="4" width="20" style="53" customWidth="1"/>
  </cols>
  <sheetData>
    <row r="1" ht="28" customHeight="1" spans="1:4" x14ac:dyDescent="0.25">
      <c r="A1" s="55" t="s">
        <v>43</v>
      </c>
      <c r="B1" s="55"/>
      <c r="C1" s="55"/>
      <c r="D1" s="55"/>
    </row>
    <row r="2" ht="22" customHeight="1" spans="1:4" x14ac:dyDescent="0.25">
      <c r="A2" s="56" t="s">
        <v>634</v>
      </c>
      <c r="B2" s="56"/>
      <c r="C2" s="56"/>
      <c r="D2" s="56"/>
    </row>
    <row r="3" ht="20" customHeight="1" spans="1:4" x14ac:dyDescent="0.25">
      <c r="A3" s="94" t="s">
        <v>607</v>
      </c>
      <c r="B3" s="94"/>
      <c r="C3" s="94"/>
      <c r="D3" s="94"/>
    </row>
    <row r="4" ht="20" customHeight="1" spans="1:4" x14ac:dyDescent="0.25">
      <c r="A4" s="95" t="s">
        <v>61</v>
      </c>
      <c r="B4" s="95" t="s">
        <v>194</v>
      </c>
      <c r="C4" s="95" t="s">
        <v>28</v>
      </c>
      <c r="D4" s="95" t="s">
        <v>48</v>
      </c>
    </row>
    <row r="5" ht="20" customHeight="1" spans="1:4" x14ac:dyDescent="0.25">
      <c r="A5" s="4" t="s">
        <v>608</v>
      </c>
      <c r="B5" s="4"/>
      <c r="C5" s="4"/>
      <c r="D5" s="4"/>
    </row>
    <row r="6" ht="18" customHeight="1" spans="1:4" x14ac:dyDescent="0.25">
      <c r="A6" s="58" t="s">
        <v>198</v>
      </c>
      <c r="B6" s="59" t="s">
        <v>199</v>
      </c>
      <c r="C6" s="60" t="s">
        <v>200</v>
      </c>
      <c r="D6" s="61" t="s">
        <v>201</v>
      </c>
    </row>
    <row r="7" ht="22" customHeight="1" spans="1:4" x14ac:dyDescent="0.25">
      <c r="A7" s="64" t="s">
        <v>202</v>
      </c>
      <c r="B7" s="64"/>
      <c r="C7" s="64"/>
      <c r="D7" s="64"/>
    </row>
    <row r="8" spans="1:4" x14ac:dyDescent="0.25">
      <c r="A8" s="65" t="s">
        <v>635</v>
      </c>
      <c r="B8" s="65" t="s">
        <v>636</v>
      </c>
      <c r="C8" s="65" t="s">
        <v>272</v>
      </c>
      <c r="D8" s="67" t="s">
        <v>216</v>
      </c>
    </row>
    <row r="9" ht="50" customHeight="1" spans="1:4" x14ac:dyDescent="0.25">
      <c r="A9" s="68" t="s">
        <v>637</v>
      </c>
      <c r="B9" s="69" t="s">
        <v>638</v>
      </c>
      <c r="C9" s="68">
        <v>1</v>
      </c>
      <c r="D9" s="71" t="s">
        <v>228</v>
      </c>
    </row>
    <row r="10" ht="68" customHeight="1" spans="1:4" x14ac:dyDescent="0.25">
      <c r="A10" s="72" t="s">
        <v>639</v>
      </c>
      <c r="B10" s="73" t="s">
        <v>640</v>
      </c>
      <c r="C10" s="72">
        <v>2</v>
      </c>
      <c r="D10" s="71" t="s">
        <v>228</v>
      </c>
    </row>
    <row r="11" ht="68" customHeight="1" spans="1:4" x14ac:dyDescent="0.25">
      <c r="A11" s="68" t="s">
        <v>641</v>
      </c>
      <c r="B11" s="69" t="s">
        <v>642</v>
      </c>
      <c r="C11" s="68">
        <v>3</v>
      </c>
      <c r="D11" s="71" t="s">
        <v>228</v>
      </c>
    </row>
    <row r="12" spans="1:4" x14ac:dyDescent="0.25">
      <c r="A12" s="72"/>
      <c r="B12" s="73"/>
      <c r="C12" s="72"/>
      <c r="D12" s="74"/>
    </row>
    <row r="13" spans="1:4" x14ac:dyDescent="0.25">
      <c r="A13" s="68"/>
      <c r="B13" s="69"/>
      <c r="C13" s="68"/>
      <c r="D13" s="74"/>
    </row>
    <row r="14" spans="1:4" x14ac:dyDescent="0.25">
      <c r="A14" s="72"/>
      <c r="B14" s="73"/>
      <c r="C14" s="72"/>
      <c r="D14" s="74"/>
    </row>
    <row r="15" spans="1:4" x14ac:dyDescent="0.25">
      <c r="A15" s="68"/>
      <c r="B15" s="69"/>
      <c r="C15" s="68"/>
      <c r="D15" s="74"/>
    </row>
    <row r="16" spans="1:4" x14ac:dyDescent="0.25">
      <c r="A16" s="72"/>
      <c r="B16" s="73"/>
      <c r="C16" s="72"/>
      <c r="D16" s="74"/>
    </row>
    <row r="17" spans="1:4" x14ac:dyDescent="0.25">
      <c r="A17" s="68"/>
      <c r="B17" s="69"/>
      <c r="C17" s="68"/>
      <c r="D17" s="74"/>
    </row>
    <row r="18" spans="1:4" x14ac:dyDescent="0.25">
      <c r="A18" s="63"/>
      <c r="B18" s="62"/>
      <c r="C18" s="63"/>
      <c r="D18" s="63"/>
    </row>
    <row r="19" spans="1:4" x14ac:dyDescent="0.25">
      <c r="A19" s="63"/>
      <c r="B19" s="62"/>
      <c r="C19" s="63"/>
      <c r="D19" s="63"/>
    </row>
    <row r="20" spans="1:4" x14ac:dyDescent="0.25">
      <c r="A20" s="63"/>
      <c r="B20" s="62"/>
      <c r="C20" s="63"/>
      <c r="D20" s="63"/>
    </row>
    <row r="21" spans="1:4" x14ac:dyDescent="0.25">
      <c r="A21" s="63"/>
      <c r="B21" s="62"/>
      <c r="C21" s="63"/>
      <c r="D21" s="63"/>
    </row>
    <row r="22" spans="1:4" x14ac:dyDescent="0.25">
      <c r="A22" s="63"/>
      <c r="B22" s="62"/>
      <c r="C22" s="63"/>
      <c r="D22" s="63"/>
    </row>
  </sheetData>
  <autoFilter ref="A8:D8"/>
  <mergeCells count="5">
    <mergeCell ref="A1:D1"/>
    <mergeCell ref="A2:D2"/>
    <mergeCell ref="A3:D3"/>
    <mergeCell ref="A5:D5"/>
    <mergeCell ref="A7:D7"/>
  </mergeCells>
  <dataValidations count="2">
    <dataValidation type="whole" operator="greaterThan" allowBlank="1" sqref="C10:C17">
      <formula1>0</formula1>
    </dataValidation>
    <dataValidation type="whole" operator="greaterThan" allowBlank="1" sqref="C9:C17">
      <formula1>0</formula1>
    </dataValidation>
  </dataValidations>
  <hyperlinks>
    <hyperlink ref="A4" r:id="rId1" tooltip="Back to HOME -&gt; HOME" location="#'HOME'!A1"/>
    <hyperlink ref="B4" r:id="rId2" tooltip="Guide -&gt; README" location="#'README'!A1"/>
    <hyperlink ref="C4" r:id="rId3" tooltip="Profile -&gt; PROFILE" location="#'PROFILE'!A8"/>
    <hyperlink ref="D4" r:id="rId4" tooltip="About Stats -&gt; ABOUT_STATS" location="#'ABOUT_STATS'!A8"/>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E23"/>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18" style="53" customWidth="1"/>
    <col min="2" max="2" width="26" style="53" customWidth="1"/>
    <col min="3" max="3" width="16" style="53" customWidth="1"/>
    <col min="4" max="4" width="10" style="53" customWidth="1"/>
    <col min="5" max="5" width="20" style="53" customWidth="1"/>
  </cols>
  <sheetData>
    <row r="1" ht="28" customHeight="1" spans="1:5" x14ac:dyDescent="0.25">
      <c r="A1" s="55" t="s">
        <v>48</v>
      </c>
      <c r="B1" s="55"/>
      <c r="C1" s="55"/>
      <c r="D1" s="55"/>
      <c r="E1" s="55"/>
    </row>
    <row r="2" ht="22" customHeight="1" spans="1:5" x14ac:dyDescent="0.25">
      <c r="A2" s="56" t="s">
        <v>643</v>
      </c>
      <c r="B2" s="56"/>
      <c r="C2" s="56"/>
      <c r="D2" s="56"/>
      <c r="E2" s="56"/>
    </row>
    <row r="3" ht="20" customHeight="1" spans="1:5" x14ac:dyDescent="0.25">
      <c r="A3" s="94" t="s">
        <v>607</v>
      </c>
      <c r="B3" s="94"/>
      <c r="C3" s="94"/>
      <c r="D3" s="94"/>
      <c r="E3" s="94"/>
    </row>
    <row r="4" ht="20" customHeight="1" spans="1:5" x14ac:dyDescent="0.25">
      <c r="A4" s="95" t="s">
        <v>61</v>
      </c>
      <c r="B4" s="95" t="s">
        <v>194</v>
      </c>
      <c r="C4" s="95" t="s">
        <v>28</v>
      </c>
      <c r="D4" s="95" t="s">
        <v>43</v>
      </c>
      <c r="E4" s="63"/>
    </row>
    <row r="5" ht="20" customHeight="1" spans="1:5" x14ac:dyDescent="0.25">
      <c r="A5" s="4" t="s">
        <v>608</v>
      </c>
      <c r="B5" s="4"/>
      <c r="C5" s="4"/>
      <c r="D5" s="4"/>
      <c r="E5" s="4"/>
    </row>
    <row r="6" ht="18" customHeight="1" spans="1:5" x14ac:dyDescent="0.25">
      <c r="A6" s="58" t="s">
        <v>198</v>
      </c>
      <c r="B6" s="59" t="s">
        <v>199</v>
      </c>
      <c r="C6" s="60" t="s">
        <v>200</v>
      </c>
      <c r="D6" s="61" t="s">
        <v>201</v>
      </c>
      <c r="E6" s="63"/>
    </row>
    <row r="7" ht="22" customHeight="1" spans="1:5" x14ac:dyDescent="0.25">
      <c r="A7" s="64" t="s">
        <v>202</v>
      </c>
      <c r="B7" s="64"/>
      <c r="C7" s="64"/>
      <c r="D7" s="64"/>
      <c r="E7" s="64"/>
    </row>
    <row r="8" spans="1:5" x14ac:dyDescent="0.25">
      <c r="A8" s="65" t="s">
        <v>253</v>
      </c>
      <c r="B8" s="65" t="s">
        <v>414</v>
      </c>
      <c r="C8" s="65" t="s">
        <v>644</v>
      </c>
      <c r="D8" s="65" t="s">
        <v>272</v>
      </c>
      <c r="E8" s="67" t="s">
        <v>216</v>
      </c>
    </row>
    <row r="9" spans="1:5" x14ac:dyDescent="0.25">
      <c r="A9" s="68" t="s">
        <v>123</v>
      </c>
      <c r="B9" s="68" t="s">
        <v>645</v>
      </c>
      <c r="C9" s="68" t="s">
        <v>646</v>
      </c>
      <c r="D9" s="68">
        <v>1</v>
      </c>
      <c r="E9" s="71" t="s">
        <v>228</v>
      </c>
    </row>
    <row r="10" spans="1:5" x14ac:dyDescent="0.25">
      <c r="A10" s="72" t="s">
        <v>647</v>
      </c>
      <c r="B10" s="72" t="s">
        <v>648</v>
      </c>
      <c r="C10" s="72" t="s">
        <v>649</v>
      </c>
      <c r="D10" s="72">
        <v>2</v>
      </c>
      <c r="E10" s="71" t="s">
        <v>228</v>
      </c>
    </row>
    <row r="11" spans="1:5" x14ac:dyDescent="0.25">
      <c r="A11" s="68" t="s">
        <v>650</v>
      </c>
      <c r="B11" s="68" t="s">
        <v>651</v>
      </c>
      <c r="C11" s="68" t="s">
        <v>652</v>
      </c>
      <c r="D11" s="68">
        <v>3</v>
      </c>
      <c r="E11" s="71" t="s">
        <v>228</v>
      </c>
    </row>
    <row r="12" spans="1:5" x14ac:dyDescent="0.25">
      <c r="A12" s="72" t="s">
        <v>653</v>
      </c>
      <c r="B12" s="72" t="s">
        <v>654</v>
      </c>
      <c r="C12" s="72" t="s">
        <v>655</v>
      </c>
      <c r="D12" s="72">
        <v>4</v>
      </c>
      <c r="E12" s="71" t="s">
        <v>228</v>
      </c>
    </row>
    <row r="13" spans="1:5" x14ac:dyDescent="0.25">
      <c r="A13" s="68"/>
      <c r="B13" s="68"/>
      <c r="C13" s="68"/>
      <c r="D13" s="68"/>
      <c r="E13" s="74"/>
    </row>
    <row r="14" spans="1:5" x14ac:dyDescent="0.25">
      <c r="A14" s="72"/>
      <c r="B14" s="72"/>
      <c r="C14" s="72"/>
      <c r="D14" s="72"/>
      <c r="E14" s="74"/>
    </row>
    <row r="15" spans="1:5" x14ac:dyDescent="0.25">
      <c r="A15" s="68"/>
      <c r="B15" s="68"/>
      <c r="C15" s="68"/>
      <c r="D15" s="68"/>
      <c r="E15" s="74"/>
    </row>
    <row r="16" spans="1:5" x14ac:dyDescent="0.25">
      <c r="A16" s="72"/>
      <c r="B16" s="72"/>
      <c r="C16" s="72"/>
      <c r="D16" s="72"/>
      <c r="E16" s="74"/>
    </row>
    <row r="17" spans="1:5" x14ac:dyDescent="0.25">
      <c r="A17" s="68"/>
      <c r="B17" s="68"/>
      <c r="C17" s="68"/>
      <c r="D17" s="68"/>
      <c r="E17" s="74"/>
    </row>
    <row r="18" spans="1:5" x14ac:dyDescent="0.25">
      <c r="A18" s="72"/>
      <c r="B18" s="72"/>
      <c r="C18" s="72"/>
      <c r="D18" s="72"/>
      <c r="E18" s="74"/>
    </row>
    <row r="19" spans="1:5" x14ac:dyDescent="0.25">
      <c r="A19" s="63"/>
      <c r="B19" s="63"/>
      <c r="C19" s="63"/>
      <c r="D19" s="63"/>
      <c r="E19" s="63"/>
    </row>
    <row r="20" spans="1:5" x14ac:dyDescent="0.25">
      <c r="A20" s="63"/>
      <c r="B20" s="63"/>
      <c r="C20" s="63"/>
      <c r="D20" s="63"/>
      <c r="E20" s="63"/>
    </row>
    <row r="21" spans="1:5" x14ac:dyDescent="0.25">
      <c r="A21" s="63"/>
      <c r="B21" s="63"/>
      <c r="C21" s="63"/>
      <c r="D21" s="63"/>
      <c r="E21" s="63"/>
    </row>
    <row r="22" spans="1:5" x14ac:dyDescent="0.25">
      <c r="A22" s="63"/>
      <c r="B22" s="63"/>
      <c r="C22" s="63"/>
      <c r="D22" s="63"/>
      <c r="E22" s="63"/>
    </row>
    <row r="23" spans="1:5" x14ac:dyDescent="0.25">
      <c r="A23" s="63"/>
      <c r="B23" s="63"/>
      <c r="C23" s="63"/>
      <c r="D23" s="63"/>
      <c r="E23" s="63"/>
    </row>
  </sheetData>
  <autoFilter ref="A8:E8"/>
  <mergeCells count="5">
    <mergeCell ref="A1:E1"/>
    <mergeCell ref="A2:E2"/>
    <mergeCell ref="A3:E3"/>
    <mergeCell ref="A5:E5"/>
    <mergeCell ref="A7:E7"/>
  </mergeCells>
  <dataValidations count="2">
    <dataValidation type="whole" operator="greaterThan" allowBlank="1" sqref="D10:D18">
      <formula1>0</formula1>
    </dataValidation>
    <dataValidation type="whole" operator="greaterThan" allowBlank="1" sqref="D9:D18">
      <formula1>0</formula1>
    </dataValidation>
  </dataValidations>
  <hyperlinks>
    <hyperlink ref="A4" r:id="rId1" tooltip="Back to HOME -&gt; HOME" location="#'HOME'!A1"/>
    <hyperlink ref="B4" r:id="rId2" tooltip="Guide -&gt; README" location="#'README'!A1"/>
    <hyperlink ref="C4" r:id="rId3" tooltip="Profile -&gt; PROFILE" location="#'PROFILE'!A8"/>
    <hyperlink ref="D4" r:id="rId4" tooltip="About Bio -&gt; ABOUT_BIO" location="#'ABOUT_BIO'!A8"/>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D21"/>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24" style="53" customWidth="1"/>
    <col min="2" max="2" width="32" style="53" customWidth="1"/>
    <col min="3" max="3" width="10" style="53" customWidth="1"/>
    <col min="4" max="4" width="20" style="53" customWidth="1"/>
  </cols>
  <sheetData>
    <row r="1" ht="28" customHeight="1" spans="1:4" x14ac:dyDescent="0.25">
      <c r="A1" s="55" t="s">
        <v>53</v>
      </c>
      <c r="B1" s="55"/>
      <c r="C1" s="55"/>
      <c r="D1" s="55"/>
    </row>
    <row r="2" ht="22" customHeight="1" spans="1:4" x14ac:dyDescent="0.25">
      <c r="A2" s="56" t="s">
        <v>656</v>
      </c>
      <c r="B2" s="56"/>
      <c r="C2" s="56"/>
      <c r="D2" s="56"/>
    </row>
    <row r="3" ht="20" customHeight="1" spans="1:4" x14ac:dyDescent="0.25">
      <c r="A3" s="94" t="s">
        <v>607</v>
      </c>
      <c r="B3" s="94"/>
      <c r="C3" s="94"/>
      <c r="D3" s="94"/>
    </row>
    <row r="4" ht="20" customHeight="1" spans="1:4" x14ac:dyDescent="0.25">
      <c r="A4" s="95" t="s">
        <v>61</v>
      </c>
      <c r="B4" s="95" t="s">
        <v>194</v>
      </c>
      <c r="C4" s="95" t="s">
        <v>78</v>
      </c>
      <c r="D4" s="63"/>
    </row>
    <row r="5" ht="20" customHeight="1" spans="1:4" x14ac:dyDescent="0.25">
      <c r="A5" s="4" t="s">
        <v>608</v>
      </c>
      <c r="B5" s="4"/>
      <c r="C5" s="4"/>
      <c r="D5" s="4"/>
    </row>
    <row r="6" ht="18" customHeight="1" spans="1:4" x14ac:dyDescent="0.25">
      <c r="A6" s="58" t="s">
        <v>198</v>
      </c>
      <c r="B6" s="59" t="s">
        <v>199</v>
      </c>
      <c r="C6" s="60" t="s">
        <v>200</v>
      </c>
      <c r="D6" s="61" t="s">
        <v>201</v>
      </c>
    </row>
    <row r="7" ht="22" customHeight="1" spans="1:4" x14ac:dyDescent="0.25">
      <c r="A7" s="64" t="s">
        <v>202</v>
      </c>
      <c r="B7" s="64"/>
      <c r="C7" s="64"/>
      <c r="D7" s="64"/>
    </row>
    <row r="8" spans="1:4" x14ac:dyDescent="0.25">
      <c r="A8" s="65" t="s">
        <v>414</v>
      </c>
      <c r="B8" s="65" t="s">
        <v>644</v>
      </c>
      <c r="C8" s="65" t="s">
        <v>272</v>
      </c>
      <c r="D8" s="67" t="s">
        <v>216</v>
      </c>
    </row>
    <row r="9" spans="1:4" x14ac:dyDescent="0.25">
      <c r="A9" s="68" t="s">
        <v>657</v>
      </c>
      <c r="B9" s="68" t="s">
        <v>658</v>
      </c>
      <c r="C9" s="68">
        <v>1</v>
      </c>
      <c r="D9" s="71" t="s">
        <v>228</v>
      </c>
    </row>
    <row r="10" spans="1:4" x14ac:dyDescent="0.25">
      <c r="A10" s="72" t="s">
        <v>659</v>
      </c>
      <c r="B10" s="72" t="s">
        <v>660</v>
      </c>
      <c r="C10" s="72">
        <v>2</v>
      </c>
      <c r="D10" s="71" t="s">
        <v>228</v>
      </c>
    </row>
    <row r="11" spans="1:4" x14ac:dyDescent="0.25">
      <c r="A11" s="68"/>
      <c r="B11" s="68"/>
      <c r="C11" s="68"/>
      <c r="D11" s="74"/>
    </row>
    <row r="12" spans="1:4" x14ac:dyDescent="0.25">
      <c r="A12" s="72"/>
      <c r="B12" s="72"/>
      <c r="C12" s="72"/>
      <c r="D12" s="74"/>
    </row>
    <row r="13" spans="1:4" x14ac:dyDescent="0.25">
      <c r="A13" s="68"/>
      <c r="B13" s="68"/>
      <c r="C13" s="68"/>
      <c r="D13" s="74"/>
    </row>
    <row r="14" spans="1:4" x14ac:dyDescent="0.25">
      <c r="A14" s="72"/>
      <c r="B14" s="72"/>
      <c r="C14" s="72"/>
      <c r="D14" s="74"/>
    </row>
    <row r="15" spans="1:4" x14ac:dyDescent="0.25">
      <c r="A15" s="68"/>
      <c r="B15" s="68"/>
      <c r="C15" s="68"/>
      <c r="D15" s="74"/>
    </row>
    <row r="16" spans="1:4" x14ac:dyDescent="0.25">
      <c r="A16" s="72"/>
      <c r="B16" s="72"/>
      <c r="C16" s="72"/>
      <c r="D16" s="74"/>
    </row>
    <row r="17" spans="1:4" x14ac:dyDescent="0.25">
      <c r="A17" s="63"/>
      <c r="B17" s="63"/>
      <c r="C17" s="63"/>
      <c r="D17" s="63"/>
    </row>
    <row r="18" spans="1:4" x14ac:dyDescent="0.25">
      <c r="A18" s="63"/>
      <c r="B18" s="63"/>
      <c r="C18" s="63"/>
      <c r="D18" s="63"/>
    </row>
    <row r="19" spans="1:4" x14ac:dyDescent="0.25">
      <c r="A19" s="63"/>
      <c r="B19" s="63"/>
      <c r="C19" s="63"/>
      <c r="D19" s="63"/>
    </row>
    <row r="20" spans="1:4" x14ac:dyDescent="0.25">
      <c r="A20" s="63"/>
      <c r="B20" s="63"/>
      <c r="C20" s="63"/>
      <c r="D20" s="63"/>
    </row>
    <row r="21" spans="1:4" x14ac:dyDescent="0.25">
      <c r="A21" s="63"/>
      <c r="B21" s="63"/>
      <c r="C21" s="63"/>
      <c r="D21" s="63"/>
    </row>
  </sheetData>
  <autoFilter ref="A8:D8"/>
  <mergeCells count="5">
    <mergeCell ref="A1:D1"/>
    <mergeCell ref="A2:D2"/>
    <mergeCell ref="A3:D3"/>
    <mergeCell ref="A5:D5"/>
    <mergeCell ref="A7:D7"/>
  </mergeCells>
  <dataValidations count="2">
    <dataValidation type="whole" operator="greaterThan" allowBlank="1" sqref="C10:C16">
      <formula1>0</formula1>
    </dataValidation>
    <dataValidation type="whole" operator="greaterThan" allowBlank="1" sqref="C9:C16">
      <formula1>0</formula1>
    </dataValidation>
  </dataValidations>
  <hyperlinks>
    <hyperlink ref="A4" r:id="rId1" tooltip="Back to HOME -&gt; HOME" location="#'HOME'!A1"/>
    <hyperlink ref="B4" r:id="rId2" tooltip="Guide -&gt; README" location="#'README'!A1"/>
    <hyperlink ref="C4" r:id="rId3" tooltip="Hero -&gt; HERO" location="#'HERO'!A8"/>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F20"/>
  <sheetViews>
    <sheetView workbookViewId="0" showGridLines="0">
      <pane ySplit="8" topLeftCell="A9" activePane="bottomLeft" state="frozen"/>
      <selection pane="bottomLeft"/>
    </sheetView>
  </sheetViews>
  <sheetFormatPr defaultRowHeight="22" outlineLevelRow="0" outlineLevelCol="0" x14ac:dyDescent="55" customHeight="1"/>
  <cols>
    <col min="1" max="2" width="28" style="53" customWidth="1"/>
    <col min="3" max="3" width="24" style="53" customWidth="1"/>
    <col min="4" max="5" width="56" style="54" customWidth="1"/>
    <col min="6" max="6" width="20" style="53" customWidth="1"/>
  </cols>
  <sheetData>
    <row r="1" ht="28" customHeight="1" spans="1:6" x14ac:dyDescent="0.25">
      <c r="A1" s="55" t="s">
        <v>44</v>
      </c>
      <c r="B1" s="55"/>
      <c r="C1" s="55"/>
      <c r="D1" s="55"/>
      <c r="E1" s="55"/>
      <c r="F1" s="55"/>
    </row>
    <row r="2" ht="22" customHeight="1" spans="1:6" x14ac:dyDescent="0.25">
      <c r="A2" s="56" t="s">
        <v>661</v>
      </c>
      <c r="B2" s="56"/>
      <c r="C2" s="56"/>
      <c r="D2" s="56"/>
      <c r="E2" s="56"/>
      <c r="F2" s="56"/>
    </row>
    <row r="3" ht="20" customHeight="1" spans="1:6" x14ac:dyDescent="0.25">
      <c r="A3" s="94" t="s">
        <v>607</v>
      </c>
      <c r="B3" s="94"/>
      <c r="C3" s="94"/>
      <c r="D3" s="94"/>
      <c r="E3" s="94"/>
      <c r="F3" s="94"/>
    </row>
    <row r="4" ht="20" customHeight="1" spans="1:6" x14ac:dyDescent="0.25">
      <c r="A4" s="95" t="s">
        <v>61</v>
      </c>
      <c r="B4" s="95" t="s">
        <v>194</v>
      </c>
      <c r="C4" s="95" t="s">
        <v>49</v>
      </c>
      <c r="D4" s="95" t="s">
        <v>54</v>
      </c>
      <c r="E4" s="62"/>
      <c r="F4" s="63"/>
    </row>
    <row r="5" ht="20" customHeight="1" spans="1:6" x14ac:dyDescent="0.25">
      <c r="A5" s="4" t="s">
        <v>608</v>
      </c>
      <c r="B5" s="4"/>
      <c r="C5" s="4"/>
      <c r="D5" s="4"/>
      <c r="E5" s="4"/>
      <c r="F5" s="4"/>
    </row>
    <row r="6" ht="18" customHeight="1" spans="1:6" x14ac:dyDescent="0.25">
      <c r="A6" s="58" t="s">
        <v>198</v>
      </c>
      <c r="B6" s="59" t="s">
        <v>199</v>
      </c>
      <c r="C6" s="60" t="s">
        <v>200</v>
      </c>
      <c r="D6" s="61" t="s">
        <v>201</v>
      </c>
      <c r="E6" s="62"/>
      <c r="F6" s="63"/>
    </row>
    <row r="7" ht="22" customHeight="1" spans="1:6" x14ac:dyDescent="0.25">
      <c r="A7" s="64" t="s">
        <v>202</v>
      </c>
      <c r="B7" s="64"/>
      <c r="C7" s="64"/>
      <c r="D7" s="64"/>
      <c r="E7" s="64"/>
      <c r="F7" s="64"/>
    </row>
    <row r="8" spans="1:6" x14ac:dyDescent="0.25">
      <c r="A8" s="65" t="s">
        <v>662</v>
      </c>
      <c r="B8" s="65" t="s">
        <v>663</v>
      </c>
      <c r="C8" s="65" t="s">
        <v>664</v>
      </c>
      <c r="D8" s="65" t="s">
        <v>665</v>
      </c>
      <c r="E8" s="65" t="s">
        <v>666</v>
      </c>
      <c r="F8" s="67" t="s">
        <v>216</v>
      </c>
    </row>
    <row r="9" spans="1:6" x14ac:dyDescent="0.25">
      <c r="A9" s="68" t="s">
        <v>667</v>
      </c>
      <c r="B9" s="68" t="s">
        <v>668</v>
      </c>
      <c r="C9" s="68" t="s">
        <v>669</v>
      </c>
      <c r="D9" s="69" t="s">
        <v>670</v>
      </c>
      <c r="E9" s="69" t="s">
        <v>671</v>
      </c>
      <c r="F9" s="71" t="s">
        <v>228</v>
      </c>
    </row>
    <row r="10" spans="1:6" x14ac:dyDescent="0.25">
      <c r="A10" s="72"/>
      <c r="B10" s="72"/>
      <c r="C10" s="72"/>
      <c r="D10" s="73"/>
      <c r="E10" s="73"/>
      <c r="F10" s="74"/>
    </row>
    <row r="11" spans="1:6" x14ac:dyDescent="0.25">
      <c r="A11" s="68"/>
      <c r="B11" s="68"/>
      <c r="C11" s="68"/>
      <c r="D11" s="69"/>
      <c r="E11" s="69"/>
      <c r="F11" s="74"/>
    </row>
    <row r="12" spans="1:6" x14ac:dyDescent="0.25">
      <c r="A12" s="72"/>
      <c r="B12" s="72"/>
      <c r="C12" s="72"/>
      <c r="D12" s="73"/>
      <c r="E12" s="73"/>
      <c r="F12" s="74"/>
    </row>
    <row r="13" spans="1:6" x14ac:dyDescent="0.25">
      <c r="A13" s="68"/>
      <c r="B13" s="68"/>
      <c r="C13" s="68"/>
      <c r="D13" s="69"/>
      <c r="E13" s="69"/>
      <c r="F13" s="74"/>
    </row>
    <row r="14" spans="1:6" x14ac:dyDescent="0.25">
      <c r="A14" s="63"/>
      <c r="B14" s="63"/>
      <c r="C14" s="63"/>
      <c r="D14" s="62"/>
      <c r="E14" s="62"/>
      <c r="F14" s="63"/>
    </row>
    <row r="15" spans="1:6" x14ac:dyDescent="0.25">
      <c r="A15" s="63"/>
      <c r="B15" s="63"/>
      <c r="C15" s="63"/>
      <c r="D15" s="62"/>
      <c r="E15" s="62"/>
      <c r="F15" s="63"/>
    </row>
    <row r="16" spans="1:6" x14ac:dyDescent="0.25">
      <c r="A16" s="63"/>
      <c r="B16" s="63"/>
      <c r="C16" s="63"/>
      <c r="D16" s="62"/>
      <c r="E16" s="62"/>
      <c r="F16" s="63"/>
    </row>
    <row r="17" spans="1:6" x14ac:dyDescent="0.25">
      <c r="A17" s="63"/>
      <c r="B17" s="63"/>
      <c r="C17" s="63"/>
      <c r="D17" s="62"/>
      <c r="E17" s="62"/>
      <c r="F17" s="63"/>
    </row>
    <row r="18" spans="1:6" x14ac:dyDescent="0.25">
      <c r="A18" s="63"/>
      <c r="B18" s="63"/>
      <c r="C18" s="63"/>
      <c r="D18" s="62"/>
      <c r="E18" s="62"/>
      <c r="F18" s="63"/>
    </row>
    <row r="19" spans="1:6" x14ac:dyDescent="0.25">
      <c r="A19" s="63"/>
      <c r="B19" s="63"/>
      <c r="C19" s="63"/>
      <c r="D19" s="62"/>
      <c r="E19" s="62"/>
      <c r="F19" s="63"/>
    </row>
    <row r="20" spans="1:6" x14ac:dyDescent="0.25">
      <c r="A20" s="63"/>
      <c r="B20" s="63"/>
      <c r="C20" s="63"/>
      <c r="D20" s="62"/>
      <c r="E20" s="62"/>
      <c r="F20" s="63"/>
    </row>
  </sheetData>
  <autoFilter ref="A8:F8"/>
  <mergeCells count="5">
    <mergeCell ref="A1:F1"/>
    <mergeCell ref="A2:F2"/>
    <mergeCell ref="A3:F3"/>
    <mergeCell ref="A5:F5"/>
    <mergeCell ref="A7:F7"/>
  </mergeCells>
  <hyperlinks>
    <hyperlink ref="A4" r:id="rId1" tooltip="Back to HOME -&gt; HOME" location="#'HOME'!A1"/>
    <hyperlink ref="B4" r:id="rId2" tooltip="Guide -&gt; README" location="#'README'!A1"/>
    <hyperlink ref="C4" r:id="rId3" tooltip="Terminal Lines -&gt; TERMINAL_LINES" location="#'TERMINAL_LINES'!A8"/>
    <hyperlink ref="D4" r:id="rId4" tooltip="Terminal Capabilities -&gt; TERMINAL_CAPABILITIES" location="#'TERMINAL_CAPABILITIES'!A8"/>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E29"/>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16" style="53" customWidth="1"/>
    <col min="2" max="2" width="80" style="54" customWidth="1"/>
    <col min="3" max="3" width="20" style="53" customWidth="1"/>
    <col min="4" max="4" width="10" style="53" customWidth="1"/>
    <col min="5" max="5" width="24" style="53" customWidth="1"/>
  </cols>
  <sheetData>
    <row r="1" ht="28" customHeight="1" spans="1:5" x14ac:dyDescent="0.25">
      <c r="A1" s="55" t="s">
        <v>49</v>
      </c>
      <c r="B1" s="55"/>
      <c r="C1" s="55"/>
      <c r="D1" s="55"/>
      <c r="E1" s="55"/>
    </row>
    <row r="2" ht="22" customHeight="1" spans="1:5" x14ac:dyDescent="0.25">
      <c r="A2" s="56" t="s">
        <v>672</v>
      </c>
      <c r="B2" s="56"/>
      <c r="C2" s="56"/>
      <c r="D2" s="56"/>
      <c r="E2" s="56"/>
    </row>
    <row r="3" ht="20" customHeight="1" spans="1:5" x14ac:dyDescent="0.25">
      <c r="A3" s="94" t="s">
        <v>607</v>
      </c>
      <c r="B3" s="94"/>
      <c r="C3" s="94"/>
      <c r="D3" s="94"/>
      <c r="E3" s="94"/>
    </row>
    <row r="4" ht="20" customHeight="1" spans="1:5" x14ac:dyDescent="0.25">
      <c r="A4" s="95" t="s">
        <v>61</v>
      </c>
      <c r="B4" s="95" t="s">
        <v>194</v>
      </c>
      <c r="C4" s="95" t="s">
        <v>44</v>
      </c>
      <c r="D4" s="95" t="s">
        <v>54</v>
      </c>
      <c r="E4" s="63"/>
    </row>
    <row r="5" ht="20" customHeight="1" spans="1:5" x14ac:dyDescent="0.25">
      <c r="A5" s="4" t="s">
        <v>608</v>
      </c>
      <c r="B5" s="4"/>
      <c r="C5" s="4"/>
      <c r="D5" s="4"/>
      <c r="E5" s="4"/>
    </row>
    <row r="6" ht="18" customHeight="1" spans="1:5" x14ac:dyDescent="0.25">
      <c r="A6" s="58" t="s">
        <v>198</v>
      </c>
      <c r="B6" s="59" t="s">
        <v>199</v>
      </c>
      <c r="C6" s="60" t="s">
        <v>200</v>
      </c>
      <c r="D6" s="61" t="s">
        <v>201</v>
      </c>
      <c r="E6" s="63"/>
    </row>
    <row r="7" ht="22" customHeight="1" spans="1:5" x14ac:dyDescent="0.25">
      <c r="A7" s="64" t="s">
        <v>202</v>
      </c>
      <c r="B7" s="64"/>
      <c r="C7" s="64"/>
      <c r="D7" s="64"/>
      <c r="E7" s="64"/>
    </row>
    <row r="8" spans="1:5" x14ac:dyDescent="0.25">
      <c r="A8" s="65" t="s">
        <v>673</v>
      </c>
      <c r="B8" s="65" t="s">
        <v>636</v>
      </c>
      <c r="C8" s="65" t="s">
        <v>674</v>
      </c>
      <c r="D8" s="65" t="s">
        <v>272</v>
      </c>
      <c r="E8" s="67" t="s">
        <v>216</v>
      </c>
    </row>
    <row r="9" spans="1:5" x14ac:dyDescent="0.25">
      <c r="A9" s="68" t="s">
        <v>105</v>
      </c>
      <c r="B9" s="69" t="s">
        <v>675</v>
      </c>
      <c r="C9" s="68" t="s">
        <v>104</v>
      </c>
      <c r="D9" s="68">
        <v>1</v>
      </c>
      <c r="E9" s="71" t="s">
        <v>676</v>
      </c>
    </row>
    <row r="10" spans="1:5" x14ac:dyDescent="0.25">
      <c r="A10" s="72" t="s">
        <v>105</v>
      </c>
      <c r="B10" s="73" t="s">
        <v>677</v>
      </c>
      <c r="C10" s="72" t="s">
        <v>116</v>
      </c>
      <c r="D10" s="72">
        <v>2</v>
      </c>
      <c r="E10" s="71" t="s">
        <v>676</v>
      </c>
    </row>
    <row r="11" spans="1:5" x14ac:dyDescent="0.25">
      <c r="A11" s="68" t="s">
        <v>105</v>
      </c>
      <c r="B11" s="69" t="s">
        <v>678</v>
      </c>
      <c r="C11" s="68" t="s">
        <v>128</v>
      </c>
      <c r="D11" s="68">
        <v>3</v>
      </c>
      <c r="E11" s="71" t="s">
        <v>676</v>
      </c>
    </row>
    <row r="12" spans="1:5" x14ac:dyDescent="0.25">
      <c r="A12" s="72" t="s">
        <v>105</v>
      </c>
      <c r="B12" s="73" t="s">
        <v>679</v>
      </c>
      <c r="C12" s="72" t="s">
        <v>136</v>
      </c>
      <c r="D12" s="72">
        <v>4</v>
      </c>
      <c r="E12" s="71" t="s">
        <v>676</v>
      </c>
    </row>
    <row r="13" spans="1:5" x14ac:dyDescent="0.25">
      <c r="A13" s="68" t="s">
        <v>117</v>
      </c>
      <c r="B13" s="69" t="s">
        <v>680</v>
      </c>
      <c r="C13" s="68" t="s">
        <v>104</v>
      </c>
      <c r="D13" s="68">
        <v>1</v>
      </c>
      <c r="E13" s="71" t="s">
        <v>681</v>
      </c>
    </row>
    <row r="14" spans="1:5" x14ac:dyDescent="0.25">
      <c r="A14" s="72" t="s">
        <v>117</v>
      </c>
      <c r="B14" s="73" t="s">
        <v>682</v>
      </c>
      <c r="C14" s="72" t="s">
        <v>104</v>
      </c>
      <c r="D14" s="72">
        <v>2</v>
      </c>
      <c r="E14" s="71" t="s">
        <v>681</v>
      </c>
    </row>
    <row r="15" spans="1:5" x14ac:dyDescent="0.25">
      <c r="A15" s="68"/>
      <c r="B15" s="69"/>
      <c r="C15" s="68"/>
      <c r="D15" s="68"/>
      <c r="E15" s="74"/>
    </row>
    <row r="16" spans="1:5" x14ac:dyDescent="0.25">
      <c r="A16" s="72"/>
      <c r="B16" s="73"/>
      <c r="C16" s="72"/>
      <c r="D16" s="72"/>
      <c r="E16" s="74"/>
    </row>
    <row r="17" spans="1:5" x14ac:dyDescent="0.25">
      <c r="A17" s="68"/>
      <c r="B17" s="69"/>
      <c r="C17" s="68"/>
      <c r="D17" s="68"/>
      <c r="E17" s="74"/>
    </row>
    <row r="18" spans="1:5" x14ac:dyDescent="0.25">
      <c r="A18" s="72"/>
      <c r="B18" s="73"/>
      <c r="C18" s="72"/>
      <c r="D18" s="72"/>
      <c r="E18" s="74"/>
    </row>
    <row r="19" spans="1:5" x14ac:dyDescent="0.25">
      <c r="A19" s="68"/>
      <c r="B19" s="69"/>
      <c r="C19" s="68"/>
      <c r="D19" s="68"/>
      <c r="E19" s="74"/>
    </row>
    <row r="20" spans="1:5" x14ac:dyDescent="0.25">
      <c r="A20" s="72"/>
      <c r="B20" s="73"/>
      <c r="C20" s="72"/>
      <c r="D20" s="72"/>
      <c r="E20" s="74"/>
    </row>
    <row r="21" spans="1:5" x14ac:dyDescent="0.25">
      <c r="A21" s="68"/>
      <c r="B21" s="69"/>
      <c r="C21" s="68"/>
      <c r="D21" s="68"/>
      <c r="E21" s="74"/>
    </row>
    <row r="22" spans="1:5" x14ac:dyDescent="0.25">
      <c r="A22" s="72"/>
      <c r="B22" s="73"/>
      <c r="C22" s="72"/>
      <c r="D22" s="72"/>
      <c r="E22" s="74"/>
    </row>
    <row r="23" spans="1:5" x14ac:dyDescent="0.25">
      <c r="A23" s="68"/>
      <c r="B23" s="69"/>
      <c r="C23" s="68"/>
      <c r="D23" s="68"/>
      <c r="E23" s="74"/>
    </row>
    <row r="24" spans="1:5" x14ac:dyDescent="0.25">
      <c r="A24" s="72"/>
      <c r="B24" s="73"/>
      <c r="C24" s="72"/>
      <c r="D24" s="72"/>
      <c r="E24" s="74"/>
    </row>
    <row r="25" spans="1:5" x14ac:dyDescent="0.25">
      <c r="A25" s="63"/>
      <c r="B25" s="62"/>
      <c r="C25" s="63"/>
      <c r="D25" s="63"/>
      <c r="E25" s="63"/>
    </row>
    <row r="26" spans="1:5" x14ac:dyDescent="0.25">
      <c r="A26" s="63"/>
      <c r="B26" s="62"/>
      <c r="C26" s="63"/>
      <c r="D26" s="63"/>
      <c r="E26" s="63"/>
    </row>
    <row r="27" spans="1:5" x14ac:dyDescent="0.25">
      <c r="A27" s="63"/>
      <c r="B27" s="62"/>
      <c r="C27" s="63"/>
      <c r="D27" s="63"/>
      <c r="E27" s="63"/>
    </row>
    <row r="28" spans="1:5" x14ac:dyDescent="0.25">
      <c r="A28" s="63"/>
      <c r="B28" s="62"/>
      <c r="C28" s="63"/>
      <c r="D28" s="63"/>
      <c r="E28" s="63"/>
    </row>
    <row r="29" spans="1:5" x14ac:dyDescent="0.25">
      <c r="A29" s="63"/>
      <c r="B29" s="62"/>
      <c r="C29" s="63"/>
      <c r="D29" s="63"/>
      <c r="E29" s="63"/>
    </row>
  </sheetData>
  <autoFilter ref="A8:E8"/>
  <mergeCells count="5">
    <mergeCell ref="A1:E1"/>
    <mergeCell ref="A2:E2"/>
    <mergeCell ref="A3:E3"/>
    <mergeCell ref="A5:E5"/>
    <mergeCell ref="A7:E7"/>
  </mergeCells>
  <dataValidations count="6">
    <dataValidation type="list" allowBlank="1" sqref="A10:A24">
      <formula1>'_LOOKUPS'!$H$2:$H$3</formula1>
    </dataValidation>
    <dataValidation type="list" allowBlank="1" sqref="A9:A24">
      <formula1>'_LOOKUPS'!$H$2:$H$3</formula1>
    </dataValidation>
    <dataValidation type="list" allowBlank="1" sqref="C10:C24">
      <formula1>'_LOOKUPS'!$G$2:$G$5</formula1>
    </dataValidation>
    <dataValidation type="list" allowBlank="1" sqref="C9:C24">
      <formula1>'_LOOKUPS'!$G$2:$G$5</formula1>
    </dataValidation>
    <dataValidation type="whole" operator="greaterThan" allowBlank="1" sqref="D10:D24">
      <formula1>0</formula1>
    </dataValidation>
    <dataValidation type="whole" operator="greaterThan" allowBlank="1" sqref="D9:D24">
      <formula1>0</formula1>
    </dataValidation>
  </dataValidations>
  <hyperlinks>
    <hyperlink ref="A4" r:id="rId1" tooltip="Back to HOME -&gt; HOME" location="#'HOME'!A1"/>
    <hyperlink ref="B4" r:id="rId2" tooltip="Guide -&gt; README" location="#'README'!A1"/>
    <hyperlink ref="C4" r:id="rId3" tooltip="Terminal -&gt; TERMINAL" location="#'TERMINAL'!A8"/>
    <hyperlink ref="D4" r:id="rId4" tooltip="Terminal Capabilities -&gt; TERMINAL_CAPABILITIES" location="#'TERMINAL_CAPABILITIES'!A8"/>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C25"/>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80" style="54" customWidth="1"/>
    <col min="2" max="2" width="10" style="53" customWidth="1"/>
    <col min="3" max="3" width="20" style="53" customWidth="1"/>
  </cols>
  <sheetData>
    <row r="1" ht="28" customHeight="1" spans="1:3" x14ac:dyDescent="0.25">
      <c r="A1" s="55" t="s">
        <v>54</v>
      </c>
      <c r="B1" s="55"/>
      <c r="C1" s="55"/>
    </row>
    <row r="2" ht="22" customHeight="1" spans="1:3" x14ac:dyDescent="0.25">
      <c r="A2" s="56" t="s">
        <v>683</v>
      </c>
      <c r="B2" s="56"/>
      <c r="C2" s="56"/>
    </row>
    <row r="3" ht="20" customHeight="1" spans="1:3" x14ac:dyDescent="0.25">
      <c r="A3" s="94" t="s">
        <v>607</v>
      </c>
      <c r="B3" s="94"/>
      <c r="C3" s="94"/>
    </row>
    <row r="4" ht="20" customHeight="1" spans="1:3" x14ac:dyDescent="0.25">
      <c r="A4" s="95" t="s">
        <v>61</v>
      </c>
      <c r="B4" s="95" t="s">
        <v>194</v>
      </c>
      <c r="C4" s="95" t="s">
        <v>44</v>
      </c>
    </row>
    <row r="5" ht="20" customHeight="1" spans="1:3" x14ac:dyDescent="0.25">
      <c r="A5" s="95" t="s">
        <v>49</v>
      </c>
      <c r="B5" s="63"/>
      <c r="C5" s="63"/>
    </row>
    <row r="6" ht="18" customHeight="1" spans="1:3" x14ac:dyDescent="0.25">
      <c r="A6" s="58" t="s">
        <v>198</v>
      </c>
      <c r="B6" s="59" t="s">
        <v>199</v>
      </c>
      <c r="C6" s="60" t="s">
        <v>200</v>
      </c>
    </row>
    <row r="7" ht="22" customHeight="1" spans="1:3" x14ac:dyDescent="0.25">
      <c r="A7" s="64" t="s">
        <v>202</v>
      </c>
      <c r="B7" s="64"/>
      <c r="C7" s="64"/>
    </row>
    <row r="8" spans="1:3" x14ac:dyDescent="0.25">
      <c r="A8" s="65" t="s">
        <v>636</v>
      </c>
      <c r="B8" s="65" t="s">
        <v>272</v>
      </c>
      <c r="C8" s="67" t="s">
        <v>216</v>
      </c>
    </row>
    <row r="9" spans="1:3" x14ac:dyDescent="0.25">
      <c r="A9" s="69" t="s">
        <v>684</v>
      </c>
      <c r="B9" s="68">
        <v>1</v>
      </c>
      <c r="C9" s="71" t="s">
        <v>228</v>
      </c>
    </row>
    <row r="10" spans="1:3" x14ac:dyDescent="0.25">
      <c r="A10" s="73" t="s">
        <v>685</v>
      </c>
      <c r="B10" s="72">
        <v>2</v>
      </c>
      <c r="C10" s="71" t="s">
        <v>228</v>
      </c>
    </row>
    <row r="11" spans="1:3" x14ac:dyDescent="0.25">
      <c r="A11" s="69" t="s">
        <v>686</v>
      </c>
      <c r="B11" s="68">
        <v>3</v>
      </c>
      <c r="C11" s="71" t="s">
        <v>228</v>
      </c>
    </row>
    <row r="12" spans="1:3" x14ac:dyDescent="0.25">
      <c r="A12" s="73" t="s">
        <v>687</v>
      </c>
      <c r="B12" s="72">
        <v>4</v>
      </c>
      <c r="C12" s="71" t="s">
        <v>228</v>
      </c>
    </row>
    <row r="13" spans="1:3" x14ac:dyDescent="0.25">
      <c r="A13" s="69"/>
      <c r="B13" s="68"/>
      <c r="C13" s="74"/>
    </row>
    <row r="14" spans="1:3" x14ac:dyDescent="0.25">
      <c r="A14" s="73"/>
      <c r="B14" s="72"/>
      <c r="C14" s="74"/>
    </row>
    <row r="15" spans="1:3" x14ac:dyDescent="0.25">
      <c r="A15" s="69"/>
      <c r="B15" s="68"/>
      <c r="C15" s="74"/>
    </row>
    <row r="16" spans="1:3" x14ac:dyDescent="0.25">
      <c r="A16" s="73"/>
      <c r="B16" s="72"/>
      <c r="C16" s="74"/>
    </row>
    <row r="17" spans="1:3" x14ac:dyDescent="0.25">
      <c r="A17" s="69"/>
      <c r="B17" s="68"/>
      <c r="C17" s="74"/>
    </row>
    <row r="18" spans="1:3" x14ac:dyDescent="0.25">
      <c r="A18" s="73"/>
      <c r="B18" s="72"/>
      <c r="C18" s="74"/>
    </row>
    <row r="19" spans="1:3" x14ac:dyDescent="0.25">
      <c r="A19" s="69"/>
      <c r="B19" s="68"/>
      <c r="C19" s="74"/>
    </row>
    <row r="20" spans="1:3" x14ac:dyDescent="0.25">
      <c r="A20" s="73"/>
      <c r="B20" s="72"/>
      <c r="C20" s="74"/>
    </row>
    <row r="21" spans="1:3" x14ac:dyDescent="0.25">
      <c r="A21" s="62"/>
      <c r="B21" s="63"/>
      <c r="C21" s="63"/>
    </row>
    <row r="22" spans="1:3" x14ac:dyDescent="0.25">
      <c r="A22" s="62"/>
      <c r="B22" s="63"/>
      <c r="C22" s="63"/>
    </row>
    <row r="23" spans="1:3" x14ac:dyDescent="0.25">
      <c r="A23" s="62"/>
      <c r="B23" s="63"/>
      <c r="C23" s="63"/>
    </row>
    <row r="24" spans="1:3" x14ac:dyDescent="0.25">
      <c r="A24" s="62"/>
      <c r="B24" s="63"/>
      <c r="C24" s="63"/>
    </row>
    <row r="25" spans="1:3" x14ac:dyDescent="0.25">
      <c r="A25" s="62"/>
      <c r="B25" s="63"/>
      <c r="C25" s="63"/>
    </row>
  </sheetData>
  <autoFilter ref="A8:C8"/>
  <mergeCells count="4">
    <mergeCell ref="A1:C1"/>
    <mergeCell ref="A2:C2"/>
    <mergeCell ref="A3:C3"/>
    <mergeCell ref="A7:C7"/>
  </mergeCells>
  <dataValidations count="2">
    <dataValidation type="whole" operator="greaterThan" allowBlank="1" sqref="B10:B20">
      <formula1>0</formula1>
    </dataValidation>
    <dataValidation type="whole" operator="greaterThan" allowBlank="1" sqref="B9:B20">
      <formula1>0</formula1>
    </dataValidation>
  </dataValidations>
  <hyperlinks>
    <hyperlink ref="A4" r:id="rId1" tooltip="Back to HOME -&gt; HOME" location="#'HOME'!A1"/>
    <hyperlink ref="B4" r:id="rId2" tooltip="Guide -&gt; README" location="#'README'!A1"/>
    <hyperlink ref="C4" r:id="rId3" tooltip="Terminal -&gt; TERMINAL" location="#'TERMINAL'!A8"/>
    <hyperlink ref="A5" r:id="rId4" tooltip="Terminal Lines -&gt; TERMINAL_LINES" location="#'TERMINAL_LINES'!A8"/>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F24"/>
  <sheetViews>
    <sheetView workbookViewId="0" showGridLines="0">
      <pane ySplit="8" topLeftCell="A9" activePane="bottomLeft" state="frozen"/>
      <selection pane="bottomLeft"/>
    </sheetView>
  </sheetViews>
  <sheetFormatPr defaultRowHeight="22" outlineLevelRow="0" outlineLevelCol="0" x14ac:dyDescent="55" customHeight="1"/>
  <cols>
    <col min="1" max="2" width="18" style="53" customWidth="1"/>
    <col min="3" max="4" width="24" style="53" customWidth="1"/>
    <col min="5" max="5" width="10" style="53" customWidth="1"/>
    <col min="6" max="6" width="20" style="53" customWidth="1"/>
  </cols>
  <sheetData>
    <row r="1" ht="28" customHeight="1" spans="1:6" x14ac:dyDescent="0.25">
      <c r="A1" s="55" t="s">
        <v>52</v>
      </c>
      <c r="B1" s="55"/>
      <c r="C1" s="55"/>
      <c r="D1" s="55"/>
      <c r="E1" s="55"/>
      <c r="F1" s="55"/>
    </row>
    <row r="2" ht="22" customHeight="1" spans="1:6" x14ac:dyDescent="0.25">
      <c r="A2" s="56" t="s">
        <v>688</v>
      </c>
      <c r="B2" s="56"/>
      <c r="C2" s="56"/>
      <c r="D2" s="56"/>
      <c r="E2" s="56"/>
      <c r="F2" s="56"/>
    </row>
    <row r="3" ht="20" customHeight="1" spans="1:6" x14ac:dyDescent="0.25">
      <c r="A3" s="94" t="s">
        <v>607</v>
      </c>
      <c r="B3" s="94"/>
      <c r="C3" s="94"/>
      <c r="D3" s="94"/>
      <c r="E3" s="94"/>
      <c r="F3" s="94"/>
    </row>
    <row r="4" ht="20" customHeight="1" spans="1:6" x14ac:dyDescent="0.25">
      <c r="A4" s="95" t="s">
        <v>61</v>
      </c>
      <c r="B4" s="95" t="s">
        <v>194</v>
      </c>
      <c r="C4" s="95" t="s">
        <v>47</v>
      </c>
      <c r="D4" s="63"/>
      <c r="E4" s="63"/>
      <c r="F4" s="63"/>
    </row>
    <row r="5" ht="20" customHeight="1" spans="1:6" x14ac:dyDescent="0.25">
      <c r="A5" s="4" t="s">
        <v>608</v>
      </c>
      <c r="B5" s="4"/>
      <c r="C5" s="4"/>
      <c r="D5" s="4"/>
      <c r="E5" s="4"/>
      <c r="F5" s="4"/>
    </row>
    <row r="6" ht="18" customHeight="1" spans="1:6" x14ac:dyDescent="0.25">
      <c r="A6" s="58" t="s">
        <v>198</v>
      </c>
      <c r="B6" s="59" t="s">
        <v>199</v>
      </c>
      <c r="C6" s="60" t="s">
        <v>200</v>
      </c>
      <c r="D6" s="61" t="s">
        <v>201</v>
      </c>
      <c r="E6" s="63"/>
      <c r="F6" s="63"/>
    </row>
    <row r="7" ht="22" customHeight="1" spans="1:6" x14ac:dyDescent="0.25">
      <c r="A7" s="64" t="s">
        <v>202</v>
      </c>
      <c r="B7" s="64"/>
      <c r="C7" s="64"/>
      <c r="D7" s="64"/>
      <c r="E7" s="64"/>
      <c r="F7" s="64"/>
    </row>
    <row r="8" spans="1:6" x14ac:dyDescent="0.25">
      <c r="A8" s="65" t="s">
        <v>689</v>
      </c>
      <c r="B8" s="65" t="s">
        <v>253</v>
      </c>
      <c r="C8" s="65" t="s">
        <v>690</v>
      </c>
      <c r="D8" s="65" t="s">
        <v>691</v>
      </c>
      <c r="E8" s="65" t="s">
        <v>272</v>
      </c>
      <c r="F8" s="67" t="s">
        <v>216</v>
      </c>
    </row>
    <row r="9" spans="1:6" x14ac:dyDescent="0.25">
      <c r="A9" s="68" t="s">
        <v>111</v>
      </c>
      <c r="B9" s="68" t="s">
        <v>692</v>
      </c>
      <c r="C9" s="68" t="s">
        <v>693</v>
      </c>
      <c r="D9" s="68" t="s">
        <v>694</v>
      </c>
      <c r="E9" s="68">
        <v>1</v>
      </c>
      <c r="F9" s="71" t="s">
        <v>228</v>
      </c>
    </row>
    <row r="10" spans="1:6" x14ac:dyDescent="0.25">
      <c r="A10" s="72" t="s">
        <v>123</v>
      </c>
      <c r="B10" s="72" t="s">
        <v>695</v>
      </c>
      <c r="C10" s="72" t="s">
        <v>696</v>
      </c>
      <c r="D10" s="72" t="s">
        <v>697</v>
      </c>
      <c r="E10" s="72">
        <v>2</v>
      </c>
      <c r="F10" s="71" t="s">
        <v>228</v>
      </c>
    </row>
    <row r="11" spans="1:6" x14ac:dyDescent="0.25">
      <c r="A11" s="68" t="s">
        <v>133</v>
      </c>
      <c r="B11" s="68" t="s">
        <v>698</v>
      </c>
      <c r="C11" s="68" t="s">
        <v>699</v>
      </c>
      <c r="D11" s="68" t="s">
        <v>700</v>
      </c>
      <c r="E11" s="68">
        <v>3</v>
      </c>
      <c r="F11" s="71" t="s">
        <v>228</v>
      </c>
    </row>
    <row r="12" spans="1:6" x14ac:dyDescent="0.25">
      <c r="A12" s="72" t="s">
        <v>141</v>
      </c>
      <c r="B12" s="72" t="s">
        <v>701</v>
      </c>
      <c r="C12" s="72" t="s">
        <v>702</v>
      </c>
      <c r="D12" s="72" t="s">
        <v>703</v>
      </c>
      <c r="E12" s="72">
        <v>4</v>
      </c>
      <c r="F12" s="71" t="s">
        <v>228</v>
      </c>
    </row>
    <row r="13" spans="1:6" x14ac:dyDescent="0.25">
      <c r="A13" s="68" t="s">
        <v>144</v>
      </c>
      <c r="B13" s="68" t="s">
        <v>704</v>
      </c>
      <c r="C13" s="68" t="s">
        <v>705</v>
      </c>
      <c r="D13" s="68" t="s">
        <v>706</v>
      </c>
      <c r="E13" s="68">
        <v>5</v>
      </c>
      <c r="F13" s="71" t="s">
        <v>228</v>
      </c>
    </row>
    <row r="14" spans="1:6" x14ac:dyDescent="0.25">
      <c r="A14" s="72"/>
      <c r="B14" s="72"/>
      <c r="C14" s="72"/>
      <c r="D14" s="72"/>
      <c r="E14" s="72"/>
      <c r="F14" s="74"/>
    </row>
    <row r="15" spans="1:6" x14ac:dyDescent="0.25">
      <c r="A15" s="68"/>
      <c r="B15" s="68"/>
      <c r="C15" s="68"/>
      <c r="D15" s="68"/>
      <c r="E15" s="68"/>
      <c r="F15" s="74"/>
    </row>
    <row r="16" spans="1:6" x14ac:dyDescent="0.25">
      <c r="A16" s="72"/>
      <c r="B16" s="72"/>
      <c r="C16" s="72"/>
      <c r="D16" s="72"/>
      <c r="E16" s="72"/>
      <c r="F16" s="74"/>
    </row>
    <row r="17" spans="1:6" x14ac:dyDescent="0.25">
      <c r="A17" s="68"/>
      <c r="B17" s="68"/>
      <c r="C17" s="68"/>
      <c r="D17" s="68"/>
      <c r="E17" s="68"/>
      <c r="F17" s="74"/>
    </row>
    <row r="18" spans="1:6" x14ac:dyDescent="0.25">
      <c r="A18" s="72"/>
      <c r="B18" s="72"/>
      <c r="C18" s="72"/>
      <c r="D18" s="72"/>
      <c r="E18" s="72"/>
      <c r="F18" s="74"/>
    </row>
    <row r="19" spans="1:6" x14ac:dyDescent="0.25">
      <c r="A19" s="68"/>
      <c r="B19" s="68"/>
      <c r="C19" s="68"/>
      <c r="D19" s="68"/>
      <c r="E19" s="68"/>
      <c r="F19" s="74"/>
    </row>
    <row r="20" spans="1:6" x14ac:dyDescent="0.25">
      <c r="A20" s="63"/>
      <c r="B20" s="63"/>
      <c r="C20" s="63"/>
      <c r="D20" s="63"/>
      <c r="E20" s="63"/>
      <c r="F20" s="63"/>
    </row>
    <row r="21" spans="1:6" x14ac:dyDescent="0.25">
      <c r="A21" s="63"/>
      <c r="B21" s="63"/>
      <c r="C21" s="63"/>
      <c r="D21" s="63"/>
      <c r="E21" s="63"/>
      <c r="F21" s="63"/>
    </row>
    <row r="22" spans="1:6" x14ac:dyDescent="0.25">
      <c r="A22" s="63"/>
      <c r="B22" s="63"/>
      <c r="C22" s="63"/>
      <c r="D22" s="63"/>
      <c r="E22" s="63"/>
      <c r="F22" s="63"/>
    </row>
    <row r="23" spans="1:6" x14ac:dyDescent="0.25">
      <c r="A23" s="63"/>
      <c r="B23" s="63"/>
      <c r="C23" s="63"/>
      <c r="D23" s="63"/>
      <c r="E23" s="63"/>
      <c r="F23" s="63"/>
    </row>
    <row r="24" spans="1:6" x14ac:dyDescent="0.25">
      <c r="A24" s="63"/>
      <c r="B24" s="63"/>
      <c r="C24" s="63"/>
      <c r="D24" s="63"/>
      <c r="E24" s="63"/>
      <c r="F24" s="63"/>
    </row>
  </sheetData>
  <autoFilter ref="A8:F8"/>
  <mergeCells count="5">
    <mergeCell ref="A1:F1"/>
    <mergeCell ref="A2:F2"/>
    <mergeCell ref="A3:F3"/>
    <mergeCell ref="A5:F5"/>
    <mergeCell ref="A7:F7"/>
  </mergeCells>
  <dataValidations count="4">
    <dataValidation type="list" allowBlank="1" sqref="A10:A19">
      <formula1>'_LOOKUPS'!$P$2:$P$6</formula1>
    </dataValidation>
    <dataValidation type="list" allowBlank="1" sqref="A9:A19">
      <formula1>'_LOOKUPS'!$P$2:$P$6</formula1>
    </dataValidation>
    <dataValidation type="whole" operator="greaterThan" allowBlank="1" sqref="E10:E19">
      <formula1>0</formula1>
    </dataValidation>
    <dataValidation type="whole" operator="greaterThan" allowBlank="1" sqref="E9:E19">
      <formula1>0</formula1>
    </dataValidation>
  </dataValidations>
  <hyperlinks>
    <hyperlink ref="A4" r:id="rId1" tooltip="Back to HOME -&gt; HOME" location="#'HOME'!A1"/>
    <hyperlink ref="B4" r:id="rId2" tooltip="Guide -&gt; README" location="#'README'!A1"/>
    <hyperlink ref="C4" r:id="rId3" tooltip="Navigation -&gt; NAVIGATION" location="#'NAVIGATION'!A8"/>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H23"/>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24" style="53" customWidth="1"/>
    <col min="2" max="2" width="34" style="53" customWidth="1"/>
    <col min="3" max="3" width="60" style="54" customWidth="1"/>
    <col min="4" max="4" width="24" style="53" customWidth="1"/>
    <col min="5" max="5" width="18" style="53" customWidth="1"/>
    <col min="6" max="6" width="20" style="53" customWidth="1"/>
    <col min="7" max="7" width="10" style="53" customWidth="1"/>
    <col min="8" max="8" width="20" style="53" customWidth="1"/>
  </cols>
  <sheetData>
    <row r="1" ht="28" customHeight="1" spans="1:8" x14ac:dyDescent="0.25">
      <c r="A1" s="55" t="s">
        <v>45</v>
      </c>
      <c r="B1" s="55"/>
      <c r="C1" s="55"/>
      <c r="D1" s="55"/>
      <c r="E1" s="55"/>
      <c r="F1" s="55"/>
      <c r="G1" s="55"/>
      <c r="H1" s="55"/>
    </row>
    <row r="2" ht="22" customHeight="1" spans="1:8" x14ac:dyDescent="0.25">
      <c r="A2" s="56" t="s">
        <v>707</v>
      </c>
      <c r="B2" s="56"/>
      <c r="C2" s="56"/>
      <c r="D2" s="56"/>
      <c r="E2" s="56"/>
      <c r="F2" s="56"/>
      <c r="G2" s="56"/>
      <c r="H2" s="56"/>
    </row>
    <row r="3" ht="20" customHeight="1" spans="1:8" x14ac:dyDescent="0.25">
      <c r="A3" s="94" t="s">
        <v>607</v>
      </c>
      <c r="B3" s="94"/>
      <c r="C3" s="94"/>
      <c r="D3" s="94"/>
      <c r="E3" s="94"/>
      <c r="F3" s="94"/>
      <c r="G3" s="94"/>
      <c r="H3" s="94"/>
    </row>
    <row r="4" ht="20" customHeight="1" spans="1:8" x14ac:dyDescent="0.25">
      <c r="A4" s="95" t="s">
        <v>61</v>
      </c>
      <c r="B4" s="95" t="s">
        <v>194</v>
      </c>
      <c r="C4" s="95" t="s">
        <v>50</v>
      </c>
      <c r="D4" s="63"/>
      <c r="E4" s="63"/>
      <c r="F4" s="63"/>
      <c r="G4" s="63"/>
      <c r="H4" s="63"/>
    </row>
    <row r="5" ht="20" customHeight="1" spans="1:8" x14ac:dyDescent="0.25">
      <c r="A5" s="4" t="s">
        <v>608</v>
      </c>
      <c r="B5" s="4"/>
      <c r="C5" s="4"/>
      <c r="D5" s="4"/>
      <c r="E5" s="4"/>
      <c r="F5" s="4"/>
      <c r="G5" s="4"/>
      <c r="H5" s="4"/>
    </row>
    <row r="6" ht="18" customHeight="1" spans="1:8" x14ac:dyDescent="0.25">
      <c r="A6" s="58" t="s">
        <v>198</v>
      </c>
      <c r="B6" s="59" t="s">
        <v>199</v>
      </c>
      <c r="C6" s="60" t="s">
        <v>200</v>
      </c>
      <c r="D6" s="61" t="s">
        <v>201</v>
      </c>
      <c r="E6" s="63"/>
      <c r="F6" s="63"/>
      <c r="G6" s="63"/>
      <c r="H6" s="63"/>
    </row>
    <row r="7" ht="22" customHeight="1" spans="1:8" x14ac:dyDescent="0.25">
      <c r="A7" s="64" t="s">
        <v>202</v>
      </c>
      <c r="B7" s="64"/>
      <c r="C7" s="64"/>
      <c r="D7" s="64"/>
      <c r="E7" s="64"/>
      <c r="F7" s="64"/>
      <c r="G7" s="64"/>
      <c r="H7" s="64"/>
    </row>
    <row r="8" spans="1:8" x14ac:dyDescent="0.25">
      <c r="A8" s="65" t="s">
        <v>708</v>
      </c>
      <c r="B8" s="65" t="s">
        <v>254</v>
      </c>
      <c r="C8" s="66" t="s">
        <v>236</v>
      </c>
      <c r="D8" s="66" t="s">
        <v>94</v>
      </c>
      <c r="E8" s="65" t="s">
        <v>125</v>
      </c>
      <c r="F8" s="65" t="s">
        <v>674</v>
      </c>
      <c r="G8" s="65" t="s">
        <v>272</v>
      </c>
      <c r="H8" s="67" t="s">
        <v>216</v>
      </c>
    </row>
    <row r="9" spans="1:8" x14ac:dyDescent="0.25">
      <c r="A9" s="68" t="s">
        <v>110</v>
      </c>
      <c r="B9" s="68" t="s">
        <v>709</v>
      </c>
      <c r="C9" s="69" t="s">
        <v>279</v>
      </c>
      <c r="D9" s="68" t="s">
        <v>279</v>
      </c>
      <c r="E9" s="68" t="s">
        <v>106</v>
      </c>
      <c r="F9" s="68" t="s">
        <v>104</v>
      </c>
      <c r="G9" s="68">
        <v>1</v>
      </c>
      <c r="H9" s="71" t="s">
        <v>228</v>
      </c>
    </row>
    <row r="10" spans="1:8" x14ac:dyDescent="0.25">
      <c r="A10" s="72" t="s">
        <v>122</v>
      </c>
      <c r="B10" s="72" t="s">
        <v>710</v>
      </c>
      <c r="C10" s="73" t="s">
        <v>279</v>
      </c>
      <c r="D10" s="72" t="s">
        <v>279</v>
      </c>
      <c r="E10" s="72" t="s">
        <v>118</v>
      </c>
      <c r="F10" s="72" t="s">
        <v>116</v>
      </c>
      <c r="G10" s="72">
        <v>2</v>
      </c>
      <c r="H10" s="71" t="s">
        <v>228</v>
      </c>
    </row>
    <row r="11" spans="1:8" x14ac:dyDescent="0.25">
      <c r="A11" s="68" t="s">
        <v>132</v>
      </c>
      <c r="B11" s="68" t="s">
        <v>711</v>
      </c>
      <c r="C11" s="69" t="s">
        <v>279</v>
      </c>
      <c r="D11" s="68" t="s">
        <v>279</v>
      </c>
      <c r="E11" s="68" t="s">
        <v>129</v>
      </c>
      <c r="F11" s="68" t="s">
        <v>104</v>
      </c>
      <c r="G11" s="68">
        <v>3</v>
      </c>
      <c r="H11" s="71" t="s">
        <v>228</v>
      </c>
    </row>
    <row r="12" spans="1:8" x14ac:dyDescent="0.25">
      <c r="A12" s="72" t="s">
        <v>140</v>
      </c>
      <c r="B12" s="72" t="s">
        <v>712</v>
      </c>
      <c r="C12" s="73" t="s">
        <v>279</v>
      </c>
      <c r="D12" s="72" t="s">
        <v>279</v>
      </c>
      <c r="E12" s="72" t="s">
        <v>137</v>
      </c>
      <c r="F12" s="72" t="s">
        <v>116</v>
      </c>
      <c r="G12" s="72">
        <v>4</v>
      </c>
      <c r="H12" s="71" t="s">
        <v>228</v>
      </c>
    </row>
    <row r="13" spans="1:8" x14ac:dyDescent="0.25">
      <c r="A13" s="68"/>
      <c r="B13" s="68"/>
      <c r="C13" s="69"/>
      <c r="D13" s="68"/>
      <c r="E13" s="68"/>
      <c r="F13" s="68"/>
      <c r="G13" s="68"/>
      <c r="H13" s="74"/>
    </row>
    <row r="14" spans="1:8" x14ac:dyDescent="0.25">
      <c r="A14" s="72"/>
      <c r="B14" s="72"/>
      <c r="C14" s="73"/>
      <c r="D14" s="72"/>
      <c r="E14" s="72"/>
      <c r="F14" s="72"/>
      <c r="G14" s="72"/>
      <c r="H14" s="74"/>
    </row>
    <row r="15" spans="1:8" x14ac:dyDescent="0.25">
      <c r="A15" s="68"/>
      <c r="B15" s="68"/>
      <c r="C15" s="69"/>
      <c r="D15" s="68"/>
      <c r="E15" s="68"/>
      <c r="F15" s="68"/>
      <c r="G15" s="68"/>
      <c r="H15" s="74"/>
    </row>
    <row r="16" spans="1:8" x14ac:dyDescent="0.25">
      <c r="A16" s="72"/>
      <c r="B16" s="72"/>
      <c r="C16" s="73"/>
      <c r="D16" s="72"/>
      <c r="E16" s="72"/>
      <c r="F16" s="72"/>
      <c r="G16" s="72"/>
      <c r="H16" s="74"/>
    </row>
    <row r="17" spans="1:8" x14ac:dyDescent="0.25">
      <c r="A17" s="68"/>
      <c r="B17" s="68"/>
      <c r="C17" s="69"/>
      <c r="D17" s="68"/>
      <c r="E17" s="68"/>
      <c r="F17" s="68"/>
      <c r="G17" s="68"/>
      <c r="H17" s="74"/>
    </row>
    <row r="18" spans="1:8" x14ac:dyDescent="0.25">
      <c r="A18" s="72"/>
      <c r="B18" s="72"/>
      <c r="C18" s="73"/>
      <c r="D18" s="72"/>
      <c r="E18" s="72"/>
      <c r="F18" s="72"/>
      <c r="G18" s="72"/>
      <c r="H18" s="74"/>
    </row>
    <row r="19" spans="1:8" x14ac:dyDescent="0.25">
      <c r="A19" s="63"/>
      <c r="B19" s="63"/>
      <c r="C19" s="62"/>
      <c r="D19" s="63"/>
      <c r="E19" s="63"/>
      <c r="F19" s="63"/>
      <c r="G19" s="63"/>
      <c r="H19" s="63"/>
    </row>
    <row r="20" spans="1:8" x14ac:dyDescent="0.25">
      <c r="A20" s="63"/>
      <c r="B20" s="63"/>
      <c r="C20" s="62"/>
      <c r="D20" s="63"/>
      <c r="E20" s="63"/>
      <c r="F20" s="63"/>
      <c r="G20" s="63"/>
      <c r="H20" s="63"/>
    </row>
    <row r="21" spans="1:8" x14ac:dyDescent="0.25">
      <c r="A21" s="63"/>
      <c r="B21" s="63"/>
      <c r="C21" s="62"/>
      <c r="D21" s="63"/>
      <c r="E21" s="63"/>
      <c r="F21" s="63"/>
      <c r="G21" s="63"/>
      <c r="H21" s="63"/>
    </row>
    <row r="22" spans="1:8" x14ac:dyDescent="0.25">
      <c r="A22" s="63"/>
      <c r="B22" s="63"/>
      <c r="C22" s="62"/>
      <c r="D22" s="63"/>
      <c r="E22" s="63"/>
      <c r="F22" s="63"/>
      <c r="G22" s="63"/>
      <c r="H22" s="63"/>
    </row>
    <row r="23" spans="1:8" x14ac:dyDescent="0.25">
      <c r="A23" s="63"/>
      <c r="B23" s="63"/>
      <c r="C23" s="62"/>
      <c r="D23" s="63"/>
      <c r="E23" s="63"/>
      <c r="F23" s="63"/>
      <c r="G23" s="63"/>
      <c r="H23" s="63"/>
    </row>
  </sheetData>
  <autoFilter ref="A8:H8"/>
  <mergeCells count="5">
    <mergeCell ref="A1:H1"/>
    <mergeCell ref="A2:H2"/>
    <mergeCell ref="A3:H3"/>
    <mergeCell ref="A5:H5"/>
    <mergeCell ref="A7:H7"/>
  </mergeCells>
  <dataValidations count="6">
    <dataValidation type="list" allowBlank="1" sqref="E10:E18">
      <formula1>'_LOOKUPS'!$J$2:$J$5</formula1>
    </dataValidation>
    <dataValidation type="list" allowBlank="1" sqref="E9:E18">
      <formula1>'_LOOKUPS'!$J$2:$J$5</formula1>
    </dataValidation>
    <dataValidation type="list" allowBlank="1" sqref="F10:F18">
      <formula1>'_LOOKUPS'!$I$2:$I$3</formula1>
    </dataValidation>
    <dataValidation type="list" allowBlank="1" sqref="F9:F18">
      <formula1>'_LOOKUPS'!$I$2:$I$3</formula1>
    </dataValidation>
    <dataValidation type="whole" operator="greaterThan" allowBlank="1" sqref="G10:G18">
      <formula1>0</formula1>
    </dataValidation>
    <dataValidation type="whole" operator="greaterThan" allowBlank="1" sqref="G9:G18">
      <formula1>0</formula1>
    </dataValidation>
  </dataValidations>
  <hyperlinks>
    <hyperlink ref="A4" r:id="rId1" tooltip="Back to HOME -&gt; HOME" location="#'HOME'!A1"/>
    <hyperlink ref="B4" r:id="rId2" tooltip="Guide -&gt; README" location="#'README'!A1"/>
    <hyperlink ref="C4" r:id="rId3" tooltip="Skill Items -&gt; SKILL_ITEMS" location="#'SKILL_ITEMS'!A8"/>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D47"/>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24" style="53" customWidth="1"/>
    <col min="2" max="2" width="28" style="53" customWidth="1"/>
    <col min="3" max="3" width="10" style="53" customWidth="1"/>
    <col min="4" max="4" width="20" style="53" customWidth="1"/>
  </cols>
  <sheetData>
    <row r="1" ht="28" customHeight="1" spans="1:4" x14ac:dyDescent="0.25">
      <c r="A1" s="55" t="s">
        <v>50</v>
      </c>
      <c r="B1" s="55"/>
      <c r="C1" s="55"/>
      <c r="D1" s="55"/>
    </row>
    <row r="2" ht="22" customHeight="1" spans="1:4" x14ac:dyDescent="0.25">
      <c r="A2" s="56" t="s">
        <v>713</v>
      </c>
      <c r="B2" s="56"/>
      <c r="C2" s="56"/>
      <c r="D2" s="56"/>
    </row>
    <row r="3" ht="20" customHeight="1" spans="1:4" x14ac:dyDescent="0.25">
      <c r="A3" s="94" t="s">
        <v>607</v>
      </c>
      <c r="B3" s="94"/>
      <c r="C3" s="94"/>
      <c r="D3" s="94"/>
    </row>
    <row r="4" ht="20" customHeight="1" spans="1:4" x14ac:dyDescent="0.25">
      <c r="A4" s="95" t="s">
        <v>61</v>
      </c>
      <c r="B4" s="95" t="s">
        <v>194</v>
      </c>
      <c r="C4" s="95" t="s">
        <v>45</v>
      </c>
      <c r="D4" s="63"/>
    </row>
    <row r="5" ht="20" customHeight="1" spans="1:4" x14ac:dyDescent="0.25">
      <c r="A5" s="4" t="s">
        <v>608</v>
      </c>
      <c r="B5" s="4"/>
      <c r="C5" s="4"/>
      <c r="D5" s="4"/>
    </row>
    <row r="6" ht="18" customHeight="1" spans="1:4" x14ac:dyDescent="0.25">
      <c r="A6" s="58" t="s">
        <v>198</v>
      </c>
      <c r="B6" s="59" t="s">
        <v>199</v>
      </c>
      <c r="C6" s="60" t="s">
        <v>200</v>
      </c>
      <c r="D6" s="61" t="s">
        <v>201</v>
      </c>
    </row>
    <row r="7" ht="22" customHeight="1" spans="1:4" x14ac:dyDescent="0.25">
      <c r="A7" s="64" t="s">
        <v>202</v>
      </c>
      <c r="B7" s="64"/>
      <c r="C7" s="64"/>
      <c r="D7" s="64"/>
    </row>
    <row r="8" spans="1:4" x14ac:dyDescent="0.25">
      <c r="A8" s="65" t="s">
        <v>708</v>
      </c>
      <c r="B8" s="65" t="s">
        <v>414</v>
      </c>
      <c r="C8" s="65" t="s">
        <v>272</v>
      </c>
      <c r="D8" s="67" t="s">
        <v>216</v>
      </c>
    </row>
    <row r="9" spans="1:4" x14ac:dyDescent="0.25">
      <c r="A9" s="68" t="s">
        <v>110</v>
      </c>
      <c r="B9" s="68" t="s">
        <v>714</v>
      </c>
      <c r="C9" s="68">
        <v>1</v>
      </c>
      <c r="D9" s="71" t="s">
        <v>228</v>
      </c>
    </row>
    <row r="10" spans="1:4" x14ac:dyDescent="0.25">
      <c r="A10" s="72" t="s">
        <v>110</v>
      </c>
      <c r="B10" s="72" t="s">
        <v>715</v>
      </c>
      <c r="C10" s="72">
        <v>2</v>
      </c>
      <c r="D10" s="71" t="s">
        <v>228</v>
      </c>
    </row>
    <row r="11" spans="1:4" x14ac:dyDescent="0.25">
      <c r="A11" s="68" t="s">
        <v>110</v>
      </c>
      <c r="B11" s="68" t="s">
        <v>716</v>
      </c>
      <c r="C11" s="68">
        <v>3</v>
      </c>
      <c r="D11" s="71" t="s">
        <v>228</v>
      </c>
    </row>
    <row r="12" spans="1:4" x14ac:dyDescent="0.25">
      <c r="A12" s="72" t="s">
        <v>110</v>
      </c>
      <c r="B12" s="72" t="s">
        <v>717</v>
      </c>
      <c r="C12" s="72">
        <v>4</v>
      </c>
      <c r="D12" s="71" t="s">
        <v>228</v>
      </c>
    </row>
    <row r="13" spans="1:4" x14ac:dyDescent="0.25">
      <c r="A13" s="68" t="s">
        <v>110</v>
      </c>
      <c r="B13" s="68" t="s">
        <v>718</v>
      </c>
      <c r="C13" s="68">
        <v>5</v>
      </c>
      <c r="D13" s="71" t="s">
        <v>228</v>
      </c>
    </row>
    <row r="14" spans="1:4" x14ac:dyDescent="0.25">
      <c r="A14" s="72" t="s">
        <v>110</v>
      </c>
      <c r="B14" s="72" t="s">
        <v>719</v>
      </c>
      <c r="C14" s="72">
        <v>6</v>
      </c>
      <c r="D14" s="71" t="s">
        <v>228</v>
      </c>
    </row>
    <row r="15" spans="1:4" x14ac:dyDescent="0.25">
      <c r="A15" s="68" t="s">
        <v>122</v>
      </c>
      <c r="B15" s="68" t="s">
        <v>720</v>
      </c>
      <c r="C15" s="68">
        <v>1</v>
      </c>
      <c r="D15" s="71" t="s">
        <v>228</v>
      </c>
    </row>
    <row r="16" spans="1:4" x14ac:dyDescent="0.25">
      <c r="A16" s="72" t="s">
        <v>122</v>
      </c>
      <c r="B16" s="72" t="s">
        <v>721</v>
      </c>
      <c r="C16" s="72">
        <v>2</v>
      </c>
      <c r="D16" s="71" t="s">
        <v>228</v>
      </c>
    </row>
    <row r="17" spans="1:4" x14ac:dyDescent="0.25">
      <c r="A17" s="68" t="s">
        <v>122</v>
      </c>
      <c r="B17" s="68" t="s">
        <v>722</v>
      </c>
      <c r="C17" s="68">
        <v>3</v>
      </c>
      <c r="D17" s="71" t="s">
        <v>228</v>
      </c>
    </row>
    <row r="18" spans="1:4" x14ac:dyDescent="0.25">
      <c r="A18" s="72" t="s">
        <v>122</v>
      </c>
      <c r="B18" s="72" t="s">
        <v>723</v>
      </c>
      <c r="C18" s="72">
        <v>4</v>
      </c>
      <c r="D18" s="71" t="s">
        <v>228</v>
      </c>
    </row>
    <row r="19" spans="1:4" x14ac:dyDescent="0.25">
      <c r="A19" s="68" t="s">
        <v>122</v>
      </c>
      <c r="B19" s="68" t="s">
        <v>724</v>
      </c>
      <c r="C19" s="68">
        <v>5</v>
      </c>
      <c r="D19" s="71" t="s">
        <v>228</v>
      </c>
    </row>
    <row r="20" spans="1:4" x14ac:dyDescent="0.25">
      <c r="A20" s="72" t="s">
        <v>132</v>
      </c>
      <c r="B20" s="72" t="s">
        <v>725</v>
      </c>
      <c r="C20" s="72">
        <v>1</v>
      </c>
      <c r="D20" s="71" t="s">
        <v>228</v>
      </c>
    </row>
    <row r="21" spans="1:4" x14ac:dyDescent="0.25">
      <c r="A21" s="68" t="s">
        <v>132</v>
      </c>
      <c r="B21" s="68" t="s">
        <v>726</v>
      </c>
      <c r="C21" s="68">
        <v>2</v>
      </c>
      <c r="D21" s="71" t="s">
        <v>228</v>
      </c>
    </row>
    <row r="22" spans="1:4" x14ac:dyDescent="0.25">
      <c r="A22" s="72" t="s">
        <v>132</v>
      </c>
      <c r="B22" s="72" t="s">
        <v>727</v>
      </c>
      <c r="C22" s="72">
        <v>3</v>
      </c>
      <c r="D22" s="71" t="s">
        <v>228</v>
      </c>
    </row>
    <row r="23" spans="1:4" x14ac:dyDescent="0.25">
      <c r="A23" s="68" t="s">
        <v>132</v>
      </c>
      <c r="B23" s="68" t="s">
        <v>728</v>
      </c>
      <c r="C23" s="68">
        <v>4</v>
      </c>
      <c r="D23" s="71" t="s">
        <v>228</v>
      </c>
    </row>
    <row r="24" spans="1:4" x14ac:dyDescent="0.25">
      <c r="A24" s="72" t="s">
        <v>132</v>
      </c>
      <c r="B24" s="72" t="s">
        <v>729</v>
      </c>
      <c r="C24" s="72">
        <v>5</v>
      </c>
      <c r="D24" s="71" t="s">
        <v>228</v>
      </c>
    </row>
    <row r="25" spans="1:4" x14ac:dyDescent="0.25">
      <c r="A25" s="68" t="s">
        <v>140</v>
      </c>
      <c r="B25" s="68" t="s">
        <v>730</v>
      </c>
      <c r="C25" s="68">
        <v>1</v>
      </c>
      <c r="D25" s="71" t="s">
        <v>228</v>
      </c>
    </row>
    <row r="26" spans="1:4" x14ac:dyDescent="0.25">
      <c r="A26" s="72" t="s">
        <v>140</v>
      </c>
      <c r="B26" s="72" t="s">
        <v>731</v>
      </c>
      <c r="C26" s="72">
        <v>2</v>
      </c>
      <c r="D26" s="71" t="s">
        <v>228</v>
      </c>
    </row>
    <row r="27" spans="1:4" x14ac:dyDescent="0.25">
      <c r="A27" s="68" t="s">
        <v>140</v>
      </c>
      <c r="B27" s="68" t="s">
        <v>732</v>
      </c>
      <c r="C27" s="68">
        <v>3</v>
      </c>
      <c r="D27" s="71" t="s">
        <v>228</v>
      </c>
    </row>
    <row r="28" spans="1:4" x14ac:dyDescent="0.25">
      <c r="A28" s="72" t="s">
        <v>140</v>
      </c>
      <c r="B28" s="72" t="s">
        <v>733</v>
      </c>
      <c r="C28" s="72">
        <v>4</v>
      </c>
      <c r="D28" s="71" t="s">
        <v>228</v>
      </c>
    </row>
    <row r="29" spans="1:4" x14ac:dyDescent="0.25">
      <c r="A29" s="68" t="s">
        <v>140</v>
      </c>
      <c r="B29" s="68" t="s">
        <v>734</v>
      </c>
      <c r="C29" s="68">
        <v>5</v>
      </c>
      <c r="D29" s="71" t="s">
        <v>228</v>
      </c>
    </row>
    <row r="30" spans="1:4" x14ac:dyDescent="0.25">
      <c r="A30" s="72" t="s">
        <v>140</v>
      </c>
      <c r="B30" s="72" t="s">
        <v>735</v>
      </c>
      <c r="C30" s="72">
        <v>6</v>
      </c>
      <c r="D30" s="71" t="s">
        <v>228</v>
      </c>
    </row>
    <row r="31" spans="1:4" x14ac:dyDescent="0.25">
      <c r="A31" s="68"/>
      <c r="B31" s="68"/>
      <c r="C31" s="68"/>
      <c r="D31" s="74"/>
    </row>
    <row r="32" spans="1:4" x14ac:dyDescent="0.25">
      <c r="A32" s="72"/>
      <c r="B32" s="72"/>
      <c r="C32" s="72"/>
      <c r="D32" s="74"/>
    </row>
    <row r="33" spans="1:4" x14ac:dyDescent="0.25">
      <c r="A33" s="68"/>
      <c r="B33" s="68"/>
      <c r="C33" s="68"/>
      <c r="D33" s="74"/>
    </row>
    <row r="34" spans="1:4" x14ac:dyDescent="0.25">
      <c r="A34" s="72"/>
      <c r="B34" s="72"/>
      <c r="C34" s="72"/>
      <c r="D34" s="74"/>
    </row>
    <row r="35" spans="1:4" x14ac:dyDescent="0.25">
      <c r="A35" s="68"/>
      <c r="B35" s="68"/>
      <c r="C35" s="68"/>
      <c r="D35" s="74"/>
    </row>
    <row r="36" spans="1:4" x14ac:dyDescent="0.25">
      <c r="A36" s="72"/>
      <c r="B36" s="72"/>
      <c r="C36" s="72"/>
      <c r="D36" s="74"/>
    </row>
    <row r="37" spans="1:4" x14ac:dyDescent="0.25">
      <c r="A37" s="68"/>
      <c r="B37" s="68"/>
      <c r="C37" s="68"/>
      <c r="D37" s="74"/>
    </row>
    <row r="38" spans="1:4" x14ac:dyDescent="0.25">
      <c r="A38" s="72"/>
      <c r="B38" s="72"/>
      <c r="C38" s="72"/>
      <c r="D38" s="74"/>
    </row>
    <row r="39" spans="1:4" x14ac:dyDescent="0.25">
      <c r="A39" s="68"/>
      <c r="B39" s="68"/>
      <c r="C39" s="68"/>
      <c r="D39" s="74"/>
    </row>
    <row r="40" spans="1:4" x14ac:dyDescent="0.25">
      <c r="A40" s="72"/>
      <c r="B40" s="72"/>
      <c r="C40" s="72"/>
      <c r="D40" s="74"/>
    </row>
    <row r="41" spans="1:4" x14ac:dyDescent="0.25">
      <c r="A41" s="68"/>
      <c r="B41" s="68"/>
      <c r="C41" s="68"/>
      <c r="D41" s="74"/>
    </row>
    <row r="42" spans="1:4" x14ac:dyDescent="0.25">
      <c r="A42" s="72"/>
      <c r="B42" s="72"/>
      <c r="C42" s="72"/>
      <c r="D42" s="74"/>
    </row>
    <row r="43" spans="1:4" x14ac:dyDescent="0.25">
      <c r="A43" s="63"/>
      <c r="B43" s="63"/>
      <c r="C43" s="63"/>
      <c r="D43" s="63"/>
    </row>
    <row r="44" spans="1:4" x14ac:dyDescent="0.25">
      <c r="A44" s="63"/>
      <c r="B44" s="63"/>
      <c r="C44" s="63"/>
      <c r="D44" s="63"/>
    </row>
    <row r="45" spans="1:4" x14ac:dyDescent="0.25">
      <c r="A45" s="63"/>
      <c r="B45" s="63"/>
      <c r="C45" s="63"/>
      <c r="D45" s="63"/>
    </row>
    <row r="46" spans="1:4" x14ac:dyDescent="0.25">
      <c r="A46" s="63"/>
      <c r="B46" s="63"/>
      <c r="C46" s="63"/>
      <c r="D46" s="63"/>
    </row>
    <row r="47" spans="1:4" x14ac:dyDescent="0.25">
      <c r="A47" s="63"/>
      <c r="B47" s="63"/>
      <c r="C47" s="63"/>
      <c r="D47" s="63"/>
    </row>
  </sheetData>
  <autoFilter ref="A8:D8"/>
  <mergeCells count="5">
    <mergeCell ref="A1:D1"/>
    <mergeCell ref="A2:D2"/>
    <mergeCell ref="A3:D3"/>
    <mergeCell ref="A5:D5"/>
    <mergeCell ref="A7:D7"/>
  </mergeCells>
  <dataValidations count="4">
    <dataValidation type="list" allowBlank="1" sqref="A10:A42">
      <formula1>'_LOOKUPS'!$O$2:$O$5</formula1>
    </dataValidation>
    <dataValidation type="list" allowBlank="1" sqref="A9:A42">
      <formula1>'_LOOKUPS'!$O$2:$O$5</formula1>
    </dataValidation>
    <dataValidation type="whole" operator="greaterThan" allowBlank="1" sqref="C10:C42">
      <formula1>0</formula1>
    </dataValidation>
    <dataValidation type="whole" operator="greaterThan" allowBlank="1" sqref="C9:C42">
      <formula1>0</formula1>
    </dataValidation>
  </dataValidations>
  <hyperlinks>
    <hyperlink ref="A4" r:id="rId1" tooltip="Back to HOME -&gt; HOME" location="#'HOME'!A1"/>
    <hyperlink ref="B4" r:id="rId2" tooltip="Guide -&gt; README" location="#'README'!A1"/>
    <hyperlink ref="C4" r:id="rId3" tooltip="Skill Categories -&gt; SKILL_CATEGORIES" location="#'SKILL_CATEGORIES'!A8"/>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D53"/>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14" style="53" customWidth="1"/>
    <col min="2" max="2" width="28" style="53" customWidth="1"/>
    <col min="3" max="3" width="10" style="53" customWidth="1"/>
    <col min="4" max="4" width="20" style="53" customWidth="1"/>
  </cols>
  <sheetData>
    <row r="1" ht="28" customHeight="1" spans="1:4" x14ac:dyDescent="0.25">
      <c r="A1" s="55" t="s">
        <v>55</v>
      </c>
      <c r="B1" s="55"/>
      <c r="C1" s="55"/>
      <c r="D1" s="55"/>
    </row>
    <row r="2" ht="22" customHeight="1" spans="1:4" x14ac:dyDescent="0.25">
      <c r="A2" s="56" t="s">
        <v>736</v>
      </c>
      <c r="B2" s="56"/>
      <c r="C2" s="56"/>
      <c r="D2" s="56"/>
    </row>
    <row r="3" ht="20" customHeight="1" spans="1:4" x14ac:dyDescent="0.25">
      <c r="A3" s="94" t="s">
        <v>607</v>
      </c>
      <c r="B3" s="94"/>
      <c r="C3" s="94"/>
      <c r="D3" s="94"/>
    </row>
    <row r="4" ht="20" customHeight="1" spans="1:4" x14ac:dyDescent="0.25">
      <c r="A4" s="95" t="s">
        <v>61</v>
      </c>
      <c r="B4" s="95" t="s">
        <v>194</v>
      </c>
      <c r="C4" s="95" t="s">
        <v>29</v>
      </c>
      <c r="D4" s="95" t="s">
        <v>57</v>
      </c>
    </row>
    <row r="5" ht="20" customHeight="1" spans="1:4" x14ac:dyDescent="0.25">
      <c r="A5" s="4" t="s">
        <v>608</v>
      </c>
      <c r="B5" s="4"/>
      <c r="C5" s="4"/>
      <c r="D5" s="4"/>
    </row>
    <row r="6" ht="18" customHeight="1" spans="1:4" x14ac:dyDescent="0.25">
      <c r="A6" s="58" t="s">
        <v>198</v>
      </c>
      <c r="B6" s="59" t="s">
        <v>199</v>
      </c>
      <c r="C6" s="60" t="s">
        <v>200</v>
      </c>
      <c r="D6" s="61" t="s">
        <v>201</v>
      </c>
    </row>
    <row r="7" ht="22" customHeight="1" spans="1:4" x14ac:dyDescent="0.25">
      <c r="A7" s="64" t="s">
        <v>202</v>
      </c>
      <c r="B7" s="64"/>
      <c r="C7" s="64"/>
      <c r="D7" s="64"/>
    </row>
    <row r="8" spans="1:4" x14ac:dyDescent="0.25">
      <c r="A8" s="65" t="s">
        <v>737</v>
      </c>
      <c r="B8" s="65" t="s">
        <v>414</v>
      </c>
      <c r="C8" s="65" t="s">
        <v>272</v>
      </c>
      <c r="D8" s="67" t="s">
        <v>216</v>
      </c>
    </row>
    <row r="9" spans="1:4" x14ac:dyDescent="0.25">
      <c r="A9" s="70" t="s">
        <v>99</v>
      </c>
      <c r="B9" s="68" t="s">
        <v>726</v>
      </c>
      <c r="C9" s="68">
        <v>1</v>
      </c>
      <c r="D9" s="71" t="s">
        <v>228</v>
      </c>
    </row>
    <row r="10" spans="1:4" x14ac:dyDescent="0.25">
      <c r="A10" s="78" t="s">
        <v>99</v>
      </c>
      <c r="B10" s="72" t="s">
        <v>715</v>
      </c>
      <c r="C10" s="72">
        <v>2</v>
      </c>
      <c r="D10" s="71" t="s">
        <v>228</v>
      </c>
    </row>
    <row r="11" spans="1:4" x14ac:dyDescent="0.25">
      <c r="A11" s="70" t="s">
        <v>99</v>
      </c>
      <c r="B11" s="68" t="s">
        <v>729</v>
      </c>
      <c r="C11" s="68">
        <v>3</v>
      </c>
      <c r="D11" s="71" t="s">
        <v>228</v>
      </c>
    </row>
    <row r="12" spans="1:4" x14ac:dyDescent="0.25">
      <c r="A12" s="78" t="s">
        <v>99</v>
      </c>
      <c r="B12" s="72" t="s">
        <v>728</v>
      </c>
      <c r="C12" s="72">
        <v>4</v>
      </c>
      <c r="D12" s="71" t="s">
        <v>228</v>
      </c>
    </row>
    <row r="13" spans="1:4" x14ac:dyDescent="0.25">
      <c r="A13" s="70" t="s">
        <v>113</v>
      </c>
      <c r="B13" s="68" t="s">
        <v>714</v>
      </c>
      <c r="C13" s="68">
        <v>1</v>
      </c>
      <c r="D13" s="71" t="s">
        <v>228</v>
      </c>
    </row>
    <row r="14" spans="1:4" x14ac:dyDescent="0.25">
      <c r="A14" s="78" t="s">
        <v>113</v>
      </c>
      <c r="B14" s="72" t="s">
        <v>738</v>
      </c>
      <c r="C14" s="72">
        <v>2</v>
      </c>
      <c r="D14" s="71" t="s">
        <v>228</v>
      </c>
    </row>
    <row r="15" spans="1:4" x14ac:dyDescent="0.25">
      <c r="A15" s="70" t="s">
        <v>113</v>
      </c>
      <c r="B15" s="68" t="s">
        <v>739</v>
      </c>
      <c r="C15" s="68">
        <v>3</v>
      </c>
      <c r="D15" s="71" t="s">
        <v>228</v>
      </c>
    </row>
    <row r="16" spans="1:4" x14ac:dyDescent="0.25">
      <c r="A16" s="78" t="s">
        <v>113</v>
      </c>
      <c r="B16" s="72" t="s">
        <v>731</v>
      </c>
      <c r="C16" s="72">
        <v>4</v>
      </c>
      <c r="D16" s="71" t="s">
        <v>228</v>
      </c>
    </row>
    <row r="17" spans="1:4" x14ac:dyDescent="0.25">
      <c r="A17" s="70" t="s">
        <v>124</v>
      </c>
      <c r="B17" s="68" t="s">
        <v>740</v>
      </c>
      <c r="C17" s="68">
        <v>1</v>
      </c>
      <c r="D17" s="71" t="s">
        <v>228</v>
      </c>
    </row>
    <row r="18" spans="1:4" x14ac:dyDescent="0.25">
      <c r="A18" s="78" t="s">
        <v>124</v>
      </c>
      <c r="B18" s="72" t="s">
        <v>730</v>
      </c>
      <c r="C18" s="72">
        <v>2</v>
      </c>
      <c r="D18" s="71" t="s">
        <v>228</v>
      </c>
    </row>
    <row r="19" spans="1:4" x14ac:dyDescent="0.25">
      <c r="A19" s="70" t="s">
        <v>124</v>
      </c>
      <c r="B19" s="68" t="s">
        <v>741</v>
      </c>
      <c r="C19" s="68">
        <v>3</v>
      </c>
      <c r="D19" s="71" t="s">
        <v>228</v>
      </c>
    </row>
    <row r="20" spans="1:4" x14ac:dyDescent="0.25">
      <c r="A20" s="78" t="s">
        <v>124</v>
      </c>
      <c r="B20" s="72" t="s">
        <v>742</v>
      </c>
      <c r="C20" s="72">
        <v>4</v>
      </c>
      <c r="D20" s="71" t="s">
        <v>228</v>
      </c>
    </row>
    <row r="21" spans="1:4" x14ac:dyDescent="0.25">
      <c r="A21" s="70" t="s">
        <v>134</v>
      </c>
      <c r="B21" s="68" t="s">
        <v>714</v>
      </c>
      <c r="C21" s="68">
        <v>1</v>
      </c>
      <c r="D21" s="71" t="s">
        <v>228</v>
      </c>
    </row>
    <row r="22" spans="1:4" x14ac:dyDescent="0.25">
      <c r="A22" s="78" t="s">
        <v>134</v>
      </c>
      <c r="B22" s="72" t="s">
        <v>721</v>
      </c>
      <c r="C22" s="72">
        <v>2</v>
      </c>
      <c r="D22" s="71" t="s">
        <v>228</v>
      </c>
    </row>
    <row r="23" spans="1:4" x14ac:dyDescent="0.25">
      <c r="A23" s="70" t="s">
        <v>134</v>
      </c>
      <c r="B23" s="68" t="s">
        <v>743</v>
      </c>
      <c r="C23" s="68">
        <v>3</v>
      </c>
      <c r="D23" s="71" t="s">
        <v>228</v>
      </c>
    </row>
    <row r="24" spans="1:4" x14ac:dyDescent="0.25">
      <c r="A24" s="78" t="s">
        <v>134</v>
      </c>
      <c r="B24" s="72" t="s">
        <v>744</v>
      </c>
      <c r="C24" s="72">
        <v>4</v>
      </c>
      <c r="D24" s="71" t="s">
        <v>228</v>
      </c>
    </row>
    <row r="25" spans="1:4" x14ac:dyDescent="0.25">
      <c r="A25" s="70" t="s">
        <v>142</v>
      </c>
      <c r="B25" s="68" t="s">
        <v>745</v>
      </c>
      <c r="C25" s="68">
        <v>1</v>
      </c>
      <c r="D25" s="71" t="s">
        <v>228</v>
      </c>
    </row>
    <row r="26" spans="1:4" x14ac:dyDescent="0.25">
      <c r="A26" s="78" t="s">
        <v>142</v>
      </c>
      <c r="B26" s="72" t="s">
        <v>746</v>
      </c>
      <c r="C26" s="72">
        <v>2</v>
      </c>
      <c r="D26" s="71" t="s">
        <v>228</v>
      </c>
    </row>
    <row r="27" spans="1:4" x14ac:dyDescent="0.25">
      <c r="A27" s="70" t="s">
        <v>142</v>
      </c>
      <c r="B27" s="68" t="s">
        <v>747</v>
      </c>
      <c r="C27" s="68">
        <v>3</v>
      </c>
      <c r="D27" s="71" t="s">
        <v>228</v>
      </c>
    </row>
    <row r="28" spans="1:4" x14ac:dyDescent="0.25">
      <c r="A28" s="78" t="s">
        <v>142</v>
      </c>
      <c r="B28" s="72" t="s">
        <v>748</v>
      </c>
      <c r="C28" s="72">
        <v>4</v>
      </c>
      <c r="D28" s="71" t="s">
        <v>228</v>
      </c>
    </row>
    <row r="29" spans="1:4" x14ac:dyDescent="0.25">
      <c r="A29" s="70" t="s">
        <v>145</v>
      </c>
      <c r="B29" s="68" t="s">
        <v>749</v>
      </c>
      <c r="C29" s="68">
        <v>1</v>
      </c>
      <c r="D29" s="71" t="s">
        <v>228</v>
      </c>
    </row>
    <row r="30" spans="1:4" x14ac:dyDescent="0.25">
      <c r="A30" s="78" t="s">
        <v>145</v>
      </c>
      <c r="B30" s="72" t="s">
        <v>750</v>
      </c>
      <c r="C30" s="72">
        <v>2</v>
      </c>
      <c r="D30" s="71" t="s">
        <v>228</v>
      </c>
    </row>
    <row r="31" spans="1:4" x14ac:dyDescent="0.25">
      <c r="A31" s="70" t="s">
        <v>145</v>
      </c>
      <c r="B31" s="68" t="s">
        <v>751</v>
      </c>
      <c r="C31" s="68">
        <v>3</v>
      </c>
      <c r="D31" s="71" t="s">
        <v>228</v>
      </c>
    </row>
    <row r="32" spans="1:4" x14ac:dyDescent="0.25">
      <c r="A32" s="78" t="s">
        <v>145</v>
      </c>
      <c r="B32" s="72" t="s">
        <v>752</v>
      </c>
      <c r="C32" s="72">
        <v>4</v>
      </c>
      <c r="D32" s="71" t="s">
        <v>228</v>
      </c>
    </row>
    <row r="33" spans="1:4" x14ac:dyDescent="0.25">
      <c r="A33" s="70" t="s">
        <v>147</v>
      </c>
      <c r="B33" s="68" t="s">
        <v>753</v>
      </c>
      <c r="C33" s="68">
        <v>1</v>
      </c>
      <c r="D33" s="71" t="s">
        <v>228</v>
      </c>
    </row>
    <row r="34" spans="1:4" x14ac:dyDescent="0.25">
      <c r="A34" s="78" t="s">
        <v>147</v>
      </c>
      <c r="B34" s="72" t="s">
        <v>715</v>
      </c>
      <c r="C34" s="72">
        <v>2</v>
      </c>
      <c r="D34" s="71" t="s">
        <v>228</v>
      </c>
    </row>
    <row r="35" spans="1:4" x14ac:dyDescent="0.25">
      <c r="A35" s="70" t="s">
        <v>147</v>
      </c>
      <c r="B35" s="68" t="s">
        <v>754</v>
      </c>
      <c r="C35" s="68">
        <v>3</v>
      </c>
      <c r="D35" s="71" t="s">
        <v>228</v>
      </c>
    </row>
    <row r="36" spans="1:4" x14ac:dyDescent="0.25">
      <c r="A36" s="78" t="s">
        <v>147</v>
      </c>
      <c r="B36" s="72" t="s">
        <v>755</v>
      </c>
      <c r="C36" s="72">
        <v>4</v>
      </c>
      <c r="D36" s="71" t="s">
        <v>228</v>
      </c>
    </row>
    <row r="37" spans="1:4" x14ac:dyDescent="0.25">
      <c r="A37" s="70" t="s">
        <v>147</v>
      </c>
      <c r="B37" s="68" t="s">
        <v>756</v>
      </c>
      <c r="C37" s="68">
        <v>5</v>
      </c>
      <c r="D37" s="71" t="s">
        <v>228</v>
      </c>
    </row>
    <row r="38" spans="1:4" x14ac:dyDescent="0.25">
      <c r="A38" s="78" t="s">
        <v>147</v>
      </c>
      <c r="B38" s="72" t="s">
        <v>757</v>
      </c>
      <c r="C38" s="72">
        <v>6</v>
      </c>
      <c r="D38" s="71" t="s">
        <v>228</v>
      </c>
    </row>
    <row r="39" spans="1:4" x14ac:dyDescent="0.25">
      <c r="A39" s="68"/>
      <c r="B39" s="68"/>
      <c r="C39" s="68"/>
      <c r="D39" s="74"/>
    </row>
    <row r="40" spans="1:4" x14ac:dyDescent="0.25">
      <c r="A40" s="72"/>
      <c r="B40" s="72"/>
      <c r="C40" s="72"/>
      <c r="D40" s="74"/>
    </row>
    <row r="41" spans="1:4" x14ac:dyDescent="0.25">
      <c r="A41" s="68"/>
      <c r="B41" s="68"/>
      <c r="C41" s="68"/>
      <c r="D41" s="74"/>
    </row>
    <row r="42" spans="1:4" x14ac:dyDescent="0.25">
      <c r="A42" s="72"/>
      <c r="B42" s="72"/>
      <c r="C42" s="72"/>
      <c r="D42" s="74"/>
    </row>
    <row r="43" spans="1:4" x14ac:dyDescent="0.25">
      <c r="A43" s="68"/>
      <c r="B43" s="68"/>
      <c r="C43" s="68"/>
      <c r="D43" s="74"/>
    </row>
    <row r="44" spans="1:4" x14ac:dyDescent="0.25">
      <c r="A44" s="72"/>
      <c r="B44" s="72"/>
      <c r="C44" s="72"/>
      <c r="D44" s="74"/>
    </row>
    <row r="45" spans="1:4" x14ac:dyDescent="0.25">
      <c r="A45" s="68"/>
      <c r="B45" s="68"/>
      <c r="C45" s="68"/>
      <c r="D45" s="74"/>
    </row>
    <row r="46" spans="1:4" x14ac:dyDescent="0.25">
      <c r="A46" s="72"/>
      <c r="B46" s="72"/>
      <c r="C46" s="72"/>
      <c r="D46" s="74"/>
    </row>
    <row r="47" spans="1:4" x14ac:dyDescent="0.25">
      <c r="A47" s="68"/>
      <c r="B47" s="68"/>
      <c r="C47" s="68"/>
      <c r="D47" s="74"/>
    </row>
    <row r="48" spans="1:4" x14ac:dyDescent="0.25">
      <c r="A48" s="72"/>
      <c r="B48" s="72"/>
      <c r="C48" s="72"/>
      <c r="D48" s="74"/>
    </row>
    <row r="49" spans="1:4" x14ac:dyDescent="0.25">
      <c r="A49" s="63"/>
      <c r="B49" s="63"/>
      <c r="C49" s="63"/>
      <c r="D49" s="63"/>
    </row>
    <row r="50" spans="1:4" x14ac:dyDescent="0.25">
      <c r="A50" s="63"/>
      <c r="B50" s="63"/>
      <c r="C50" s="63"/>
      <c r="D50" s="63"/>
    </row>
    <row r="51" spans="1:4" x14ac:dyDescent="0.25">
      <c r="A51" s="63"/>
      <c r="B51" s="63"/>
      <c r="C51" s="63"/>
      <c r="D51" s="63"/>
    </row>
    <row r="52" spans="1:4" x14ac:dyDescent="0.25">
      <c r="A52" s="63"/>
      <c r="B52" s="63"/>
      <c r="C52" s="63"/>
      <c r="D52" s="63"/>
    </row>
    <row r="53" spans="1:4" x14ac:dyDescent="0.25">
      <c r="A53" s="63"/>
      <c r="B53" s="63"/>
      <c r="C53" s="63"/>
      <c r="D53" s="63"/>
    </row>
  </sheetData>
  <autoFilter ref="A8:D8"/>
  <mergeCells count="5">
    <mergeCell ref="A1:D1"/>
    <mergeCell ref="A2:D2"/>
    <mergeCell ref="A3:D3"/>
    <mergeCell ref="A5:D5"/>
    <mergeCell ref="A7:D7"/>
  </mergeCells>
  <dataValidations count="4">
    <dataValidation type="list" allowBlank="1" sqref="A10:A48">
      <formula1>'_LOOKUPS'!$M$2:$M$8</formula1>
    </dataValidation>
    <dataValidation type="list" allowBlank="1" sqref="A9:A48">
      <formula1>'_LOOKUPS'!$M$2:$M$8</formula1>
    </dataValidation>
    <dataValidation type="whole" operator="greaterThan" allowBlank="1" sqref="C10:C48">
      <formula1>0</formula1>
    </dataValidation>
    <dataValidation type="whole" operator="greaterThan" allowBlank="1" sqref="C9:C48">
      <formula1>0</formula1>
    </dataValidation>
  </dataValidations>
  <hyperlinks>
    <hyperlink ref="A4" r:id="rId1" tooltip="Back to HOME -&gt; HOME" location="#'HOME'!A1"/>
    <hyperlink ref="B4" r:id="rId2" tooltip="Guide -&gt; README" location="#'README'!A1"/>
    <hyperlink ref="C4" r:id="rId3" tooltip="Projects -&gt; PROJECTS" location="#'PROJECTS'!A8"/>
    <hyperlink ref="D4" r:id="rId4" tooltip="Project Architecture -&gt; PROJECT_ARCH" location="#'PROJECT_ARCH'!A8"/>
    <hyperlink ref="A9" r:id="rId5" tooltip="1 -&gt; PROJECTS" location="#'PROJECTS'!A9"/>
    <hyperlink ref="A10" r:id="rId6" tooltip="1 -&gt; PROJECTS" location="#'PROJECTS'!A9"/>
    <hyperlink ref="A11" r:id="rId7" tooltip="1 -&gt; PROJECTS" location="#'PROJECTS'!A9"/>
    <hyperlink ref="A12" r:id="rId8" tooltip="1 -&gt; PROJECTS" location="#'PROJECTS'!A9"/>
    <hyperlink ref="A13" r:id="rId9" tooltip="2 -&gt; PROJECTS" location="#'PROJECTS'!A10"/>
    <hyperlink ref="A14" r:id="rId10" tooltip="2 -&gt; PROJECTS" location="#'PROJECTS'!A10"/>
    <hyperlink ref="A15" r:id="rId11" tooltip="2 -&gt; PROJECTS" location="#'PROJECTS'!A10"/>
    <hyperlink ref="A16" r:id="rId12" tooltip="2 -&gt; PROJECTS" location="#'PROJECTS'!A10"/>
    <hyperlink ref="A17" r:id="rId13" tooltip="3 -&gt; PROJECTS" location="#'PROJECTS'!A11"/>
    <hyperlink ref="A18" r:id="rId14" tooltip="3 -&gt; PROJECTS" location="#'PROJECTS'!A11"/>
    <hyperlink ref="A19" r:id="rId15" tooltip="3 -&gt; PROJECTS" location="#'PROJECTS'!A11"/>
    <hyperlink ref="A20" r:id="rId16" tooltip="3 -&gt; PROJECTS" location="#'PROJECTS'!A11"/>
    <hyperlink ref="A21" r:id="rId17" tooltip="4 -&gt; PROJECTS" location="#'PROJECTS'!A12"/>
    <hyperlink ref="A22" r:id="rId18" tooltip="4 -&gt; PROJECTS" location="#'PROJECTS'!A12"/>
    <hyperlink ref="A23" r:id="rId19" tooltip="4 -&gt; PROJECTS" location="#'PROJECTS'!A12"/>
    <hyperlink ref="A24" r:id="rId20" tooltip="4 -&gt; PROJECTS" location="#'PROJECTS'!A12"/>
    <hyperlink ref="A25" r:id="rId21" tooltip="5 -&gt; PROJECTS" location="#'PROJECTS'!A13"/>
    <hyperlink ref="A26" r:id="rId22" tooltip="5 -&gt; PROJECTS" location="#'PROJECTS'!A13"/>
    <hyperlink ref="A27" r:id="rId23" tooltip="5 -&gt; PROJECTS" location="#'PROJECTS'!A13"/>
    <hyperlink ref="A28" r:id="rId24" tooltip="5 -&gt; PROJECTS" location="#'PROJECTS'!A13"/>
    <hyperlink ref="A29" r:id="rId25" tooltip="6 -&gt; PROJECTS" location="#'PROJECTS'!A14"/>
    <hyperlink ref="A30" r:id="rId26" tooltip="6 -&gt; PROJECTS" location="#'PROJECTS'!A14"/>
    <hyperlink ref="A31" r:id="rId27" tooltip="6 -&gt; PROJECTS" location="#'PROJECTS'!A14"/>
    <hyperlink ref="A32" r:id="rId28" tooltip="6 -&gt; PROJECTS" location="#'PROJECTS'!A14"/>
    <hyperlink ref="A33" r:id="rId29" tooltip="7 -&gt; PROJECTS" location="#'PROJECTS'!A15"/>
    <hyperlink ref="A34" r:id="rId30" tooltip="7 -&gt; PROJECTS" location="#'PROJECTS'!A15"/>
    <hyperlink ref="A35" r:id="rId31" tooltip="7 -&gt; PROJECTS" location="#'PROJECTS'!A15"/>
    <hyperlink ref="A36" r:id="rId32" tooltip="7 -&gt; PROJECTS" location="#'PROJECTS'!A15"/>
    <hyperlink ref="A37" r:id="rId33" tooltip="7 -&gt; PROJECTS" location="#'PROJECTS'!A15"/>
    <hyperlink ref="A38" r:id="rId34" tooltip="7 -&gt; PROJECTS" location="#'PROJECTS'!A15"/>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E60"/>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14" style="53" customWidth="1"/>
    <col min="2" max="3" width="28" style="53" customWidth="1"/>
    <col min="4" max="4" width="10" style="53" customWidth="1"/>
    <col min="5" max="5" width="20" style="53" customWidth="1"/>
  </cols>
  <sheetData>
    <row r="1" ht="28" customHeight="1" spans="1:5" x14ac:dyDescent="0.25">
      <c r="A1" s="55" t="s">
        <v>57</v>
      </c>
      <c r="B1" s="55"/>
      <c r="C1" s="55"/>
      <c r="D1" s="55"/>
      <c r="E1" s="55"/>
    </row>
    <row r="2" ht="22" customHeight="1" spans="1:5" x14ac:dyDescent="0.25">
      <c r="A2" s="56" t="s">
        <v>758</v>
      </c>
      <c r="B2" s="56"/>
      <c r="C2" s="56"/>
      <c r="D2" s="56"/>
      <c r="E2" s="56"/>
    </row>
    <row r="3" ht="20" customHeight="1" spans="1:5" x14ac:dyDescent="0.25">
      <c r="A3" s="94" t="s">
        <v>607</v>
      </c>
      <c r="B3" s="94"/>
      <c r="C3" s="94"/>
      <c r="D3" s="94"/>
      <c r="E3" s="94"/>
    </row>
    <row r="4" ht="20" customHeight="1" spans="1:5" x14ac:dyDescent="0.25">
      <c r="A4" s="95" t="s">
        <v>61</v>
      </c>
      <c r="B4" s="95" t="s">
        <v>194</v>
      </c>
      <c r="C4" s="95" t="s">
        <v>29</v>
      </c>
      <c r="D4" s="95" t="s">
        <v>55</v>
      </c>
      <c r="E4" s="63"/>
    </row>
    <row r="5" ht="20" customHeight="1" spans="1:5" x14ac:dyDescent="0.25">
      <c r="A5" s="4" t="s">
        <v>608</v>
      </c>
      <c r="B5" s="4"/>
      <c r="C5" s="4"/>
      <c r="D5" s="4"/>
      <c r="E5" s="4"/>
    </row>
    <row r="6" ht="18" customHeight="1" spans="1:5" x14ac:dyDescent="0.25">
      <c r="A6" s="58" t="s">
        <v>198</v>
      </c>
      <c r="B6" s="59" t="s">
        <v>199</v>
      </c>
      <c r="C6" s="60" t="s">
        <v>200</v>
      </c>
      <c r="D6" s="61" t="s">
        <v>201</v>
      </c>
      <c r="E6" s="63"/>
    </row>
    <row r="7" ht="22" customHeight="1" spans="1:5" x14ac:dyDescent="0.25">
      <c r="A7" s="64" t="s">
        <v>202</v>
      </c>
      <c r="B7" s="64"/>
      <c r="C7" s="64"/>
      <c r="D7" s="64"/>
      <c r="E7" s="64"/>
    </row>
    <row r="8" spans="1:5" x14ac:dyDescent="0.25">
      <c r="A8" s="65" t="s">
        <v>737</v>
      </c>
      <c r="B8" s="65" t="s">
        <v>414</v>
      </c>
      <c r="C8" s="66" t="s">
        <v>759</v>
      </c>
      <c r="D8" s="65" t="s">
        <v>272</v>
      </c>
      <c r="E8" s="67" t="s">
        <v>216</v>
      </c>
    </row>
    <row r="9" spans="1:5" x14ac:dyDescent="0.25">
      <c r="A9" s="70" t="s">
        <v>99</v>
      </c>
      <c r="B9" s="68" t="s">
        <v>760</v>
      </c>
      <c r="C9" s="68" t="s">
        <v>279</v>
      </c>
      <c r="D9" s="68">
        <v>1</v>
      </c>
      <c r="E9" s="71" t="s">
        <v>228</v>
      </c>
    </row>
    <row r="10" spans="1:5" x14ac:dyDescent="0.25">
      <c r="A10" s="78" t="s">
        <v>99</v>
      </c>
      <c r="B10" s="72" t="s">
        <v>761</v>
      </c>
      <c r="C10" s="72" t="s">
        <v>279</v>
      </c>
      <c r="D10" s="72">
        <v>2</v>
      </c>
      <c r="E10" s="71" t="s">
        <v>228</v>
      </c>
    </row>
    <row r="11" spans="1:5" x14ac:dyDescent="0.25">
      <c r="A11" s="70" t="s">
        <v>99</v>
      </c>
      <c r="B11" s="68" t="s">
        <v>729</v>
      </c>
      <c r="C11" s="68" t="s">
        <v>279</v>
      </c>
      <c r="D11" s="68">
        <v>3</v>
      </c>
      <c r="E11" s="71" t="s">
        <v>228</v>
      </c>
    </row>
    <row r="12" spans="1:5" x14ac:dyDescent="0.25">
      <c r="A12" s="78" t="s">
        <v>99</v>
      </c>
      <c r="B12" s="72" t="s">
        <v>762</v>
      </c>
      <c r="C12" s="72" t="s">
        <v>279</v>
      </c>
      <c r="D12" s="72">
        <v>4</v>
      </c>
      <c r="E12" s="71" t="s">
        <v>228</v>
      </c>
    </row>
    <row r="13" spans="1:5" x14ac:dyDescent="0.25">
      <c r="A13" s="70" t="s">
        <v>113</v>
      </c>
      <c r="B13" s="68" t="s">
        <v>763</v>
      </c>
      <c r="C13" s="68" t="s">
        <v>279</v>
      </c>
      <c r="D13" s="68">
        <v>1</v>
      </c>
      <c r="E13" s="71" t="s">
        <v>228</v>
      </c>
    </row>
    <row r="14" spans="1:5" x14ac:dyDescent="0.25">
      <c r="A14" s="78" t="s">
        <v>113</v>
      </c>
      <c r="B14" s="72" t="s">
        <v>764</v>
      </c>
      <c r="C14" s="72" t="s">
        <v>279</v>
      </c>
      <c r="D14" s="72">
        <v>2</v>
      </c>
      <c r="E14" s="71" t="s">
        <v>228</v>
      </c>
    </row>
    <row r="15" spans="1:5" x14ac:dyDescent="0.25">
      <c r="A15" s="70" t="s">
        <v>113</v>
      </c>
      <c r="B15" s="68" t="s">
        <v>765</v>
      </c>
      <c r="C15" s="68" t="s">
        <v>279</v>
      </c>
      <c r="D15" s="68">
        <v>3</v>
      </c>
      <c r="E15" s="71" t="s">
        <v>228</v>
      </c>
    </row>
    <row r="16" spans="1:5" x14ac:dyDescent="0.25">
      <c r="A16" s="78" t="s">
        <v>113</v>
      </c>
      <c r="B16" s="72" t="s">
        <v>766</v>
      </c>
      <c r="C16" s="72" t="s">
        <v>279</v>
      </c>
      <c r="D16" s="72">
        <v>4</v>
      </c>
      <c r="E16" s="71" t="s">
        <v>228</v>
      </c>
    </row>
    <row r="17" spans="1:5" x14ac:dyDescent="0.25">
      <c r="A17" s="70" t="s">
        <v>124</v>
      </c>
      <c r="B17" s="68" t="s">
        <v>767</v>
      </c>
      <c r="C17" s="68" t="s">
        <v>279</v>
      </c>
      <c r="D17" s="68">
        <v>1</v>
      </c>
      <c r="E17" s="71" t="s">
        <v>228</v>
      </c>
    </row>
    <row r="18" spans="1:5" x14ac:dyDescent="0.25">
      <c r="A18" s="78" t="s">
        <v>124</v>
      </c>
      <c r="B18" s="72" t="s">
        <v>768</v>
      </c>
      <c r="C18" s="72" t="s">
        <v>279</v>
      </c>
      <c r="D18" s="72">
        <v>2</v>
      </c>
      <c r="E18" s="71" t="s">
        <v>228</v>
      </c>
    </row>
    <row r="19" spans="1:5" x14ac:dyDescent="0.25">
      <c r="A19" s="70" t="s">
        <v>124</v>
      </c>
      <c r="B19" s="68" t="s">
        <v>769</v>
      </c>
      <c r="C19" s="68" t="s">
        <v>279</v>
      </c>
      <c r="D19" s="68">
        <v>3</v>
      </c>
      <c r="E19" s="71" t="s">
        <v>228</v>
      </c>
    </row>
    <row r="20" spans="1:5" x14ac:dyDescent="0.25">
      <c r="A20" s="78" t="s">
        <v>124</v>
      </c>
      <c r="B20" s="72" t="s">
        <v>770</v>
      </c>
      <c r="C20" s="72" t="s">
        <v>279</v>
      </c>
      <c r="D20" s="72">
        <v>4</v>
      </c>
      <c r="E20" s="71" t="s">
        <v>228</v>
      </c>
    </row>
    <row r="21" spans="1:5" x14ac:dyDescent="0.25">
      <c r="A21" s="70" t="s">
        <v>134</v>
      </c>
      <c r="B21" s="68" t="s">
        <v>771</v>
      </c>
      <c r="C21" s="68" t="s">
        <v>279</v>
      </c>
      <c r="D21" s="68">
        <v>1</v>
      </c>
      <c r="E21" s="71" t="s">
        <v>228</v>
      </c>
    </row>
    <row r="22" spans="1:5" x14ac:dyDescent="0.25">
      <c r="A22" s="78" t="s">
        <v>134</v>
      </c>
      <c r="B22" s="72" t="s">
        <v>721</v>
      </c>
      <c r="C22" s="72" t="s">
        <v>279</v>
      </c>
      <c r="D22" s="72">
        <v>2</v>
      </c>
      <c r="E22" s="71" t="s">
        <v>228</v>
      </c>
    </row>
    <row r="23" spans="1:5" x14ac:dyDescent="0.25">
      <c r="A23" s="70" t="s">
        <v>134</v>
      </c>
      <c r="B23" s="68" t="s">
        <v>743</v>
      </c>
      <c r="C23" s="68" t="s">
        <v>279</v>
      </c>
      <c r="D23" s="68">
        <v>3</v>
      </c>
      <c r="E23" s="71" t="s">
        <v>228</v>
      </c>
    </row>
    <row r="24" spans="1:5" x14ac:dyDescent="0.25">
      <c r="A24" s="78" t="s">
        <v>134</v>
      </c>
      <c r="B24" s="72" t="s">
        <v>772</v>
      </c>
      <c r="C24" s="72" t="s">
        <v>279</v>
      </c>
      <c r="D24" s="72">
        <v>4</v>
      </c>
      <c r="E24" s="71" t="s">
        <v>228</v>
      </c>
    </row>
    <row r="25" spans="1:5" x14ac:dyDescent="0.25">
      <c r="A25" s="70" t="s">
        <v>142</v>
      </c>
      <c r="B25" s="68" t="s">
        <v>773</v>
      </c>
      <c r="C25" s="68" t="s">
        <v>279</v>
      </c>
      <c r="D25" s="68">
        <v>1</v>
      </c>
      <c r="E25" s="71" t="s">
        <v>228</v>
      </c>
    </row>
    <row r="26" spans="1:5" x14ac:dyDescent="0.25">
      <c r="A26" s="78" t="s">
        <v>142</v>
      </c>
      <c r="B26" s="72" t="s">
        <v>774</v>
      </c>
      <c r="C26" s="72" t="s">
        <v>279</v>
      </c>
      <c r="D26" s="72">
        <v>2</v>
      </c>
      <c r="E26" s="71" t="s">
        <v>228</v>
      </c>
    </row>
    <row r="27" spans="1:5" x14ac:dyDescent="0.25">
      <c r="A27" s="70" t="s">
        <v>142</v>
      </c>
      <c r="B27" s="68" t="s">
        <v>775</v>
      </c>
      <c r="C27" s="68" t="s">
        <v>279</v>
      </c>
      <c r="D27" s="68">
        <v>3</v>
      </c>
      <c r="E27" s="71" t="s">
        <v>228</v>
      </c>
    </row>
    <row r="28" spans="1:5" x14ac:dyDescent="0.25">
      <c r="A28" s="78" t="s">
        <v>142</v>
      </c>
      <c r="B28" s="72" t="s">
        <v>776</v>
      </c>
      <c r="C28" s="72" t="s">
        <v>279</v>
      </c>
      <c r="D28" s="72">
        <v>4</v>
      </c>
      <c r="E28" s="71" t="s">
        <v>228</v>
      </c>
    </row>
    <row r="29" spans="1:5" x14ac:dyDescent="0.25">
      <c r="A29" s="70" t="s">
        <v>145</v>
      </c>
      <c r="B29" s="68" t="s">
        <v>777</v>
      </c>
      <c r="C29" s="68" t="s">
        <v>279</v>
      </c>
      <c r="D29" s="68">
        <v>1</v>
      </c>
      <c r="E29" s="71" t="s">
        <v>228</v>
      </c>
    </row>
    <row r="30" spans="1:5" x14ac:dyDescent="0.25">
      <c r="A30" s="78" t="s">
        <v>145</v>
      </c>
      <c r="B30" s="72" t="s">
        <v>778</v>
      </c>
      <c r="C30" s="72" t="s">
        <v>279</v>
      </c>
      <c r="D30" s="72">
        <v>2</v>
      </c>
      <c r="E30" s="71" t="s">
        <v>228</v>
      </c>
    </row>
    <row r="31" spans="1:5" x14ac:dyDescent="0.25">
      <c r="A31" s="70" t="s">
        <v>145</v>
      </c>
      <c r="B31" s="68" t="s">
        <v>779</v>
      </c>
      <c r="C31" s="68" t="s">
        <v>279</v>
      </c>
      <c r="D31" s="68">
        <v>3</v>
      </c>
      <c r="E31" s="71" t="s">
        <v>228</v>
      </c>
    </row>
    <row r="32" spans="1:5" x14ac:dyDescent="0.25">
      <c r="A32" s="78" t="s">
        <v>145</v>
      </c>
      <c r="B32" s="72" t="s">
        <v>780</v>
      </c>
      <c r="C32" s="72" t="s">
        <v>279</v>
      </c>
      <c r="D32" s="72">
        <v>4</v>
      </c>
      <c r="E32" s="71" t="s">
        <v>228</v>
      </c>
    </row>
    <row r="33" spans="1:5" x14ac:dyDescent="0.25">
      <c r="A33" s="70" t="s">
        <v>147</v>
      </c>
      <c r="B33" s="68" t="s">
        <v>781</v>
      </c>
      <c r="C33" s="68" t="s">
        <v>782</v>
      </c>
      <c r="D33" s="68">
        <v>1</v>
      </c>
      <c r="E33" s="71" t="s">
        <v>228</v>
      </c>
    </row>
    <row r="34" spans="1:5" x14ac:dyDescent="0.25">
      <c r="A34" s="78" t="s">
        <v>147</v>
      </c>
      <c r="B34" s="72" t="s">
        <v>783</v>
      </c>
      <c r="C34" s="72" t="s">
        <v>782</v>
      </c>
      <c r="D34" s="72">
        <v>2</v>
      </c>
      <c r="E34" s="71" t="s">
        <v>228</v>
      </c>
    </row>
    <row r="35" spans="1:5" x14ac:dyDescent="0.25">
      <c r="A35" s="70" t="s">
        <v>147</v>
      </c>
      <c r="B35" s="68" t="s">
        <v>784</v>
      </c>
      <c r="C35" s="68" t="s">
        <v>782</v>
      </c>
      <c r="D35" s="68">
        <v>3</v>
      </c>
      <c r="E35" s="71" t="s">
        <v>228</v>
      </c>
    </row>
    <row r="36" spans="1:5" x14ac:dyDescent="0.25">
      <c r="A36" s="78" t="s">
        <v>147</v>
      </c>
      <c r="B36" s="72" t="s">
        <v>785</v>
      </c>
      <c r="C36" s="72" t="s">
        <v>782</v>
      </c>
      <c r="D36" s="72">
        <v>4</v>
      </c>
      <c r="E36" s="71" t="s">
        <v>228</v>
      </c>
    </row>
    <row r="37" spans="1:5" x14ac:dyDescent="0.25">
      <c r="A37" s="70" t="s">
        <v>147</v>
      </c>
      <c r="B37" s="68" t="s">
        <v>786</v>
      </c>
      <c r="C37" s="68" t="s">
        <v>782</v>
      </c>
      <c r="D37" s="68">
        <v>5</v>
      </c>
      <c r="E37" s="71" t="s">
        <v>228</v>
      </c>
    </row>
    <row r="38" spans="1:5" x14ac:dyDescent="0.25">
      <c r="A38" s="78" t="s">
        <v>147</v>
      </c>
      <c r="B38" s="72" t="s">
        <v>787</v>
      </c>
      <c r="C38" s="72" t="s">
        <v>788</v>
      </c>
      <c r="D38" s="72">
        <v>11</v>
      </c>
      <c r="E38" s="71" t="s">
        <v>228</v>
      </c>
    </row>
    <row r="39" spans="1:5" x14ac:dyDescent="0.25">
      <c r="A39" s="70" t="s">
        <v>147</v>
      </c>
      <c r="B39" s="68" t="s">
        <v>789</v>
      </c>
      <c r="C39" s="68" t="s">
        <v>788</v>
      </c>
      <c r="D39" s="68">
        <v>12</v>
      </c>
      <c r="E39" s="71" t="s">
        <v>228</v>
      </c>
    </row>
    <row r="40" spans="1:5" x14ac:dyDescent="0.25">
      <c r="A40" s="78" t="s">
        <v>147</v>
      </c>
      <c r="B40" s="72" t="s">
        <v>790</v>
      </c>
      <c r="C40" s="72" t="s">
        <v>788</v>
      </c>
      <c r="D40" s="72">
        <v>13</v>
      </c>
      <c r="E40" s="71" t="s">
        <v>228</v>
      </c>
    </row>
    <row r="41" spans="1:5" x14ac:dyDescent="0.25">
      <c r="A41" s="70" t="s">
        <v>147</v>
      </c>
      <c r="B41" s="68" t="s">
        <v>791</v>
      </c>
      <c r="C41" s="68" t="s">
        <v>788</v>
      </c>
      <c r="D41" s="68">
        <v>14</v>
      </c>
      <c r="E41" s="71" t="s">
        <v>228</v>
      </c>
    </row>
    <row r="42" spans="1:5" x14ac:dyDescent="0.25">
      <c r="A42" s="78" t="s">
        <v>147</v>
      </c>
      <c r="B42" s="72" t="s">
        <v>792</v>
      </c>
      <c r="C42" s="72" t="s">
        <v>793</v>
      </c>
      <c r="D42" s="72">
        <v>21</v>
      </c>
      <c r="E42" s="71" t="s">
        <v>228</v>
      </c>
    </row>
    <row r="43" spans="1:5" x14ac:dyDescent="0.25">
      <c r="A43" s="70" t="s">
        <v>147</v>
      </c>
      <c r="B43" s="68" t="s">
        <v>794</v>
      </c>
      <c r="C43" s="68" t="s">
        <v>793</v>
      </c>
      <c r="D43" s="68">
        <v>22</v>
      </c>
      <c r="E43" s="71" t="s">
        <v>228</v>
      </c>
    </row>
    <row r="44" spans="1:5" x14ac:dyDescent="0.25">
      <c r="A44" s="78" t="s">
        <v>147</v>
      </c>
      <c r="B44" s="72" t="s">
        <v>795</v>
      </c>
      <c r="C44" s="72" t="s">
        <v>793</v>
      </c>
      <c r="D44" s="72">
        <v>23</v>
      </c>
      <c r="E44" s="71" t="s">
        <v>228</v>
      </c>
    </row>
    <row r="45" spans="1:5" x14ac:dyDescent="0.25">
      <c r="A45" s="70" t="s">
        <v>147</v>
      </c>
      <c r="B45" s="68" t="s">
        <v>796</v>
      </c>
      <c r="C45" s="68" t="s">
        <v>793</v>
      </c>
      <c r="D45" s="68">
        <v>24</v>
      </c>
      <c r="E45" s="71" t="s">
        <v>228</v>
      </c>
    </row>
    <row r="46" spans="1:5" x14ac:dyDescent="0.25">
      <c r="A46" s="72"/>
      <c r="B46" s="72"/>
      <c r="C46" s="72"/>
      <c r="D46" s="72"/>
      <c r="E46" s="74"/>
    </row>
    <row r="47" spans="1:5" x14ac:dyDescent="0.25">
      <c r="A47" s="68"/>
      <c r="B47" s="68"/>
      <c r="C47" s="68"/>
      <c r="D47" s="68"/>
      <c r="E47" s="74"/>
    </row>
    <row r="48" spans="1:5" x14ac:dyDescent="0.25">
      <c r="A48" s="72"/>
      <c r="B48" s="72"/>
      <c r="C48" s="72"/>
      <c r="D48" s="72"/>
      <c r="E48" s="74"/>
    </row>
    <row r="49" spans="1:5" x14ac:dyDescent="0.25">
      <c r="A49" s="68"/>
      <c r="B49" s="68"/>
      <c r="C49" s="68"/>
      <c r="D49" s="68"/>
      <c r="E49" s="74"/>
    </row>
    <row r="50" spans="1:5" x14ac:dyDescent="0.25">
      <c r="A50" s="72"/>
      <c r="B50" s="72"/>
      <c r="C50" s="72"/>
      <c r="D50" s="72"/>
      <c r="E50" s="74"/>
    </row>
    <row r="51" spans="1:5" x14ac:dyDescent="0.25">
      <c r="A51" s="68"/>
      <c r="B51" s="68"/>
      <c r="C51" s="68"/>
      <c r="D51" s="68"/>
      <c r="E51" s="74"/>
    </row>
    <row r="52" spans="1:5" x14ac:dyDescent="0.25">
      <c r="A52" s="72"/>
      <c r="B52" s="72"/>
      <c r="C52" s="72"/>
      <c r="D52" s="72"/>
      <c r="E52" s="74"/>
    </row>
    <row r="53" spans="1:5" x14ac:dyDescent="0.25">
      <c r="A53" s="68"/>
      <c r="B53" s="68"/>
      <c r="C53" s="68"/>
      <c r="D53" s="68"/>
      <c r="E53" s="74"/>
    </row>
    <row r="54" spans="1:5" x14ac:dyDescent="0.25">
      <c r="A54" s="72"/>
      <c r="B54" s="72"/>
      <c r="C54" s="72"/>
      <c r="D54" s="72"/>
      <c r="E54" s="74"/>
    </row>
    <row r="55" spans="1:5" x14ac:dyDescent="0.25">
      <c r="A55" s="68"/>
      <c r="B55" s="68"/>
      <c r="C55" s="68"/>
      <c r="D55" s="68"/>
      <c r="E55" s="74"/>
    </row>
    <row r="56" spans="1:5" x14ac:dyDescent="0.25">
      <c r="A56" s="63"/>
      <c r="B56" s="63"/>
      <c r="C56" s="63"/>
      <c r="D56" s="63"/>
      <c r="E56" s="63"/>
    </row>
    <row r="57" spans="1:5" x14ac:dyDescent="0.25">
      <c r="A57" s="63"/>
      <c r="B57" s="63"/>
      <c r="C57" s="63"/>
      <c r="D57" s="63"/>
      <c r="E57" s="63"/>
    </row>
    <row r="58" spans="1:5" x14ac:dyDescent="0.25">
      <c r="A58" s="63"/>
      <c r="B58" s="63"/>
      <c r="C58" s="63"/>
      <c r="D58" s="63"/>
      <c r="E58" s="63"/>
    </row>
    <row r="59" spans="1:5" x14ac:dyDescent="0.25">
      <c r="A59" s="63"/>
      <c r="B59" s="63"/>
      <c r="C59" s="63"/>
      <c r="D59" s="63"/>
      <c r="E59" s="63"/>
    </row>
    <row r="60" spans="1:5" x14ac:dyDescent="0.25">
      <c r="A60" s="63"/>
      <c r="B60" s="63"/>
      <c r="C60" s="63"/>
      <c r="D60" s="63"/>
      <c r="E60" s="63"/>
    </row>
  </sheetData>
  <autoFilter ref="A8:E8"/>
  <mergeCells count="5">
    <mergeCell ref="A1:E1"/>
    <mergeCell ref="A2:E2"/>
    <mergeCell ref="A3:E3"/>
    <mergeCell ref="A5:E5"/>
    <mergeCell ref="A7:E7"/>
  </mergeCells>
  <dataValidations count="4">
    <dataValidation type="list" allowBlank="1" sqref="A10:A55">
      <formula1>'_LOOKUPS'!$M$2:$M$8</formula1>
    </dataValidation>
    <dataValidation type="list" allowBlank="1" sqref="A9:A55">
      <formula1>'_LOOKUPS'!$M$2:$M$8</formula1>
    </dataValidation>
    <dataValidation type="whole" operator="greaterThan" allowBlank="1" sqref="D10:D55">
      <formula1>0</formula1>
    </dataValidation>
    <dataValidation type="whole" operator="greaterThan" allowBlank="1" sqref="D9:D55">
      <formula1>0</formula1>
    </dataValidation>
  </dataValidations>
  <hyperlinks>
    <hyperlink ref="A4" r:id="rId1" tooltip="Back to HOME -&gt; HOME" location="#'HOME'!A1"/>
    <hyperlink ref="B4" r:id="rId2" tooltip="Guide -&gt; README" location="#'README'!A1"/>
    <hyperlink ref="C4" r:id="rId3" tooltip="Projects -&gt; PROJECTS" location="#'PROJECTS'!A8"/>
    <hyperlink ref="D4" r:id="rId4" tooltip="Project Stack -&gt; PROJECT_STACK" location="#'PROJECT_STACK'!A8"/>
    <hyperlink ref="A9" r:id="rId5" tooltip="1 -&gt; PROJECTS" location="#'PROJECTS'!A9"/>
    <hyperlink ref="A10" r:id="rId6" tooltip="1 -&gt; PROJECTS" location="#'PROJECTS'!A9"/>
    <hyperlink ref="A11" r:id="rId7" tooltip="1 -&gt; PROJECTS" location="#'PROJECTS'!A9"/>
    <hyperlink ref="A12" r:id="rId8" tooltip="1 -&gt; PROJECTS" location="#'PROJECTS'!A9"/>
    <hyperlink ref="A13" r:id="rId9" tooltip="2 -&gt; PROJECTS" location="#'PROJECTS'!A10"/>
    <hyperlink ref="A14" r:id="rId10" tooltip="2 -&gt; PROJECTS" location="#'PROJECTS'!A10"/>
    <hyperlink ref="A15" r:id="rId11" tooltip="2 -&gt; PROJECTS" location="#'PROJECTS'!A10"/>
    <hyperlink ref="A16" r:id="rId12" tooltip="2 -&gt; PROJECTS" location="#'PROJECTS'!A10"/>
    <hyperlink ref="A17" r:id="rId13" tooltip="3 -&gt; PROJECTS" location="#'PROJECTS'!A11"/>
    <hyperlink ref="A18" r:id="rId14" tooltip="3 -&gt; PROJECTS" location="#'PROJECTS'!A11"/>
    <hyperlink ref="A19" r:id="rId15" tooltip="3 -&gt; PROJECTS" location="#'PROJECTS'!A11"/>
    <hyperlink ref="A20" r:id="rId16" tooltip="3 -&gt; PROJECTS" location="#'PROJECTS'!A11"/>
    <hyperlink ref="A21" r:id="rId17" tooltip="4 -&gt; PROJECTS" location="#'PROJECTS'!A12"/>
    <hyperlink ref="A22" r:id="rId18" tooltip="4 -&gt; PROJECTS" location="#'PROJECTS'!A12"/>
    <hyperlink ref="A23" r:id="rId19" tooltip="4 -&gt; PROJECTS" location="#'PROJECTS'!A12"/>
    <hyperlink ref="A24" r:id="rId20" tooltip="4 -&gt; PROJECTS" location="#'PROJECTS'!A12"/>
    <hyperlink ref="A25" r:id="rId21" tooltip="5 -&gt; PROJECTS" location="#'PROJECTS'!A13"/>
    <hyperlink ref="A26" r:id="rId22" tooltip="5 -&gt; PROJECTS" location="#'PROJECTS'!A13"/>
    <hyperlink ref="A27" r:id="rId23" tooltip="5 -&gt; PROJECTS" location="#'PROJECTS'!A13"/>
    <hyperlink ref="A28" r:id="rId24" tooltip="5 -&gt; PROJECTS" location="#'PROJECTS'!A13"/>
    <hyperlink ref="A29" r:id="rId25" tooltip="6 -&gt; PROJECTS" location="#'PROJECTS'!A14"/>
    <hyperlink ref="A30" r:id="rId26" tooltip="6 -&gt; PROJECTS" location="#'PROJECTS'!A14"/>
    <hyperlink ref="A31" r:id="rId27" tooltip="6 -&gt; PROJECTS" location="#'PROJECTS'!A14"/>
    <hyperlink ref="A32" r:id="rId28" tooltip="6 -&gt; PROJECTS" location="#'PROJECTS'!A14"/>
    <hyperlink ref="A33" r:id="rId29" tooltip="7 -&gt; PROJECTS" location="#'PROJECTS'!A15"/>
    <hyperlink ref="A34" r:id="rId30" tooltip="7 -&gt; PROJECTS" location="#'PROJECTS'!A15"/>
    <hyperlink ref="A35" r:id="rId31" tooltip="7 -&gt; PROJECTS" location="#'PROJECTS'!A15"/>
    <hyperlink ref="A36" r:id="rId32" tooltip="7 -&gt; PROJECTS" location="#'PROJECTS'!A15"/>
    <hyperlink ref="A37" r:id="rId33" tooltip="7 -&gt; PROJECTS" location="#'PROJECTS'!A15"/>
    <hyperlink ref="A38" r:id="rId34" tooltip="7 -&gt; PROJECTS" location="#'PROJECTS'!A15"/>
    <hyperlink ref="A39" r:id="rId35" tooltip="7 -&gt; PROJECTS" location="#'PROJECTS'!A15"/>
    <hyperlink ref="A40" r:id="rId36" tooltip="7 -&gt; PROJECTS" location="#'PROJECTS'!A15"/>
    <hyperlink ref="A41" r:id="rId37" tooltip="7 -&gt; PROJECTS" location="#'PROJECTS'!A15"/>
    <hyperlink ref="A42" r:id="rId38" tooltip="7 -&gt; PROJECTS" location="#'PROJECTS'!A15"/>
    <hyperlink ref="A43" r:id="rId39" tooltip="7 -&gt; PROJECTS" location="#'PROJECTS'!A15"/>
    <hyperlink ref="A44" r:id="rId40" tooltip="7 -&gt; PROJECTS" location="#'PROJECTS'!A15"/>
    <hyperlink ref="A45" r:id="rId41" tooltip="7 -&gt; PROJECTS" location="#'PROJECTS'!A15"/>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G21"/>
  <sheetViews>
    <sheetView workbookViewId="0" showGridLines="0">
      <pane ySplit="8" topLeftCell="A9" activePane="bottomLeft" state="frozen"/>
      <selection pane="bottomLeft"/>
    </sheetView>
  </sheetViews>
  <sheetFormatPr defaultRowHeight="22" outlineLevelRow="0" outlineLevelCol="0" x14ac:dyDescent="55" customHeight="1"/>
  <cols>
    <col min="1" max="2" width="18" style="53" customWidth="1"/>
    <col min="3" max="3" width="30" style="53" customWidth="1"/>
    <col min="4" max="4" width="24" style="53" customWidth="1"/>
    <col min="5" max="5" width="34" style="53" customWidth="1"/>
    <col min="6" max="6" width="10" style="53" customWidth="1"/>
    <col min="7" max="7" width="20" style="53" customWidth="1"/>
  </cols>
  <sheetData>
    <row r="1" ht="28" customHeight="1" spans="1:7" x14ac:dyDescent="0.25">
      <c r="A1" s="55" t="s">
        <v>46</v>
      </c>
      <c r="B1" s="55"/>
      <c r="C1" s="55"/>
      <c r="D1" s="55"/>
      <c r="E1" s="55"/>
      <c r="F1" s="55"/>
      <c r="G1" s="55"/>
    </row>
    <row r="2" ht="22" customHeight="1" spans="1:7" x14ac:dyDescent="0.25">
      <c r="A2" s="56" t="s">
        <v>797</v>
      </c>
      <c r="B2" s="56"/>
      <c r="C2" s="56"/>
      <c r="D2" s="56"/>
      <c r="E2" s="56"/>
      <c r="F2" s="56"/>
      <c r="G2" s="56"/>
    </row>
    <row r="3" ht="20" customHeight="1" spans="1:7" x14ac:dyDescent="0.25">
      <c r="A3" s="94" t="s">
        <v>607</v>
      </c>
      <c r="B3" s="94"/>
      <c r="C3" s="94"/>
      <c r="D3" s="94"/>
      <c r="E3" s="94"/>
      <c r="F3" s="94"/>
      <c r="G3" s="94"/>
    </row>
    <row r="4" ht="20" customHeight="1" spans="1:7" x14ac:dyDescent="0.25">
      <c r="A4" s="95" t="s">
        <v>61</v>
      </c>
      <c r="B4" s="95" t="s">
        <v>194</v>
      </c>
      <c r="C4" s="95" t="s">
        <v>30</v>
      </c>
      <c r="D4" s="63"/>
      <c r="E4" s="63"/>
      <c r="F4" s="63"/>
      <c r="G4" s="63"/>
    </row>
    <row r="5" ht="20" customHeight="1" spans="1:7" x14ac:dyDescent="0.25">
      <c r="A5" s="4" t="s">
        <v>608</v>
      </c>
      <c r="B5" s="4"/>
      <c r="C5" s="4"/>
      <c r="D5" s="4"/>
      <c r="E5" s="4"/>
      <c r="F5" s="4"/>
      <c r="G5" s="4"/>
    </row>
    <row r="6" ht="18" customHeight="1" spans="1:7" x14ac:dyDescent="0.25">
      <c r="A6" s="58" t="s">
        <v>198</v>
      </c>
      <c r="B6" s="59" t="s">
        <v>199</v>
      </c>
      <c r="C6" s="60" t="s">
        <v>200</v>
      </c>
      <c r="D6" s="61" t="s">
        <v>201</v>
      </c>
      <c r="E6" s="63"/>
      <c r="F6" s="63"/>
      <c r="G6" s="63"/>
    </row>
    <row r="7" ht="22" customHeight="1" spans="1:7" x14ac:dyDescent="0.25">
      <c r="A7" s="64" t="s">
        <v>202</v>
      </c>
      <c r="B7" s="64"/>
      <c r="C7" s="64"/>
      <c r="D7" s="64"/>
      <c r="E7" s="64"/>
      <c r="F7" s="64"/>
      <c r="G7" s="64"/>
    </row>
    <row r="8" spans="1:7" x14ac:dyDescent="0.25">
      <c r="A8" s="65" t="s">
        <v>319</v>
      </c>
      <c r="B8" s="65" t="s">
        <v>798</v>
      </c>
      <c r="C8" s="65" t="s">
        <v>414</v>
      </c>
      <c r="D8" s="65" t="s">
        <v>321</v>
      </c>
      <c r="E8" s="65" t="s">
        <v>799</v>
      </c>
      <c r="F8" s="65" t="s">
        <v>272</v>
      </c>
      <c r="G8" s="67" t="s">
        <v>216</v>
      </c>
    </row>
    <row r="9" spans="1:7" x14ac:dyDescent="0.25">
      <c r="A9" s="68" t="s">
        <v>108</v>
      </c>
      <c r="B9" s="68" t="s">
        <v>800</v>
      </c>
      <c r="C9" s="68" t="s">
        <v>801</v>
      </c>
      <c r="D9" s="68" t="s">
        <v>802</v>
      </c>
      <c r="E9" s="68" t="s">
        <v>803</v>
      </c>
      <c r="F9" s="68">
        <v>1</v>
      </c>
      <c r="G9" s="71" t="s">
        <v>228</v>
      </c>
    </row>
    <row r="10" spans="1:7" x14ac:dyDescent="0.25">
      <c r="A10" s="72" t="s">
        <v>120</v>
      </c>
      <c r="B10" s="72" t="s">
        <v>804</v>
      </c>
      <c r="C10" s="72" t="s">
        <v>805</v>
      </c>
      <c r="D10" s="72" t="s">
        <v>806</v>
      </c>
      <c r="E10" s="72" t="s">
        <v>807</v>
      </c>
      <c r="F10" s="72">
        <v>2</v>
      </c>
      <c r="G10" s="71" t="s">
        <v>228</v>
      </c>
    </row>
    <row r="11" spans="1:7" x14ac:dyDescent="0.25">
      <c r="A11" s="68"/>
      <c r="B11" s="68"/>
      <c r="C11" s="68"/>
      <c r="D11" s="68"/>
      <c r="E11" s="68"/>
      <c r="F11" s="68"/>
      <c r="G11" s="74"/>
    </row>
    <row r="12" spans="1:7" x14ac:dyDescent="0.25">
      <c r="A12" s="72"/>
      <c r="B12" s="72"/>
      <c r="C12" s="72"/>
      <c r="D12" s="72"/>
      <c r="E12" s="72"/>
      <c r="F12" s="72"/>
      <c r="G12" s="74"/>
    </row>
    <row r="13" spans="1:7" x14ac:dyDescent="0.25">
      <c r="A13" s="68"/>
      <c r="B13" s="68"/>
      <c r="C13" s="68"/>
      <c r="D13" s="68"/>
      <c r="E13" s="68"/>
      <c r="F13" s="68"/>
      <c r="G13" s="74"/>
    </row>
    <row r="14" spans="1:7" x14ac:dyDescent="0.25">
      <c r="A14" s="72"/>
      <c r="B14" s="72"/>
      <c r="C14" s="72"/>
      <c r="D14" s="72"/>
      <c r="E14" s="72"/>
      <c r="F14" s="72"/>
      <c r="G14" s="74"/>
    </row>
    <row r="15" spans="1:7" x14ac:dyDescent="0.25">
      <c r="A15" s="68"/>
      <c r="B15" s="68"/>
      <c r="C15" s="68"/>
      <c r="D15" s="68"/>
      <c r="E15" s="68"/>
      <c r="F15" s="68"/>
      <c r="G15" s="74"/>
    </row>
    <row r="16" spans="1:7" x14ac:dyDescent="0.25">
      <c r="A16" s="72"/>
      <c r="B16" s="72"/>
      <c r="C16" s="72"/>
      <c r="D16" s="72"/>
      <c r="E16" s="72"/>
      <c r="F16" s="72"/>
      <c r="G16" s="74"/>
    </row>
    <row r="17" spans="1:7" x14ac:dyDescent="0.25">
      <c r="A17" s="63"/>
      <c r="B17" s="63"/>
      <c r="C17" s="63"/>
      <c r="D17" s="63"/>
      <c r="E17" s="63"/>
      <c r="F17" s="63"/>
      <c r="G17" s="63"/>
    </row>
    <row r="18" spans="1:7" x14ac:dyDescent="0.25">
      <c r="A18" s="63"/>
      <c r="B18" s="63"/>
      <c r="C18" s="63"/>
      <c r="D18" s="63"/>
      <c r="E18" s="63"/>
      <c r="F18" s="63"/>
      <c r="G18" s="63"/>
    </row>
    <row r="19" spans="1:7" x14ac:dyDescent="0.25">
      <c r="A19" s="63"/>
      <c r="B19" s="63"/>
      <c r="C19" s="63"/>
      <c r="D19" s="63"/>
      <c r="E19" s="63"/>
      <c r="F19" s="63"/>
      <c r="G19" s="63"/>
    </row>
    <row r="20" spans="1:7" x14ac:dyDescent="0.25">
      <c r="A20" s="63"/>
      <c r="B20" s="63"/>
      <c r="C20" s="63"/>
      <c r="D20" s="63"/>
      <c r="E20" s="63"/>
      <c r="F20" s="63"/>
      <c r="G20" s="63"/>
    </row>
    <row r="21" spans="1:7" x14ac:dyDescent="0.25">
      <c r="A21" s="63"/>
      <c r="B21" s="63"/>
      <c r="C21" s="63"/>
      <c r="D21" s="63"/>
      <c r="E21" s="63"/>
      <c r="F21" s="63"/>
      <c r="G21" s="63"/>
    </row>
  </sheetData>
  <autoFilter ref="A8:G8"/>
  <mergeCells count="5">
    <mergeCell ref="A1:G1"/>
    <mergeCell ref="A2:G2"/>
    <mergeCell ref="A3:G3"/>
    <mergeCell ref="A5:G5"/>
    <mergeCell ref="A7:G7"/>
  </mergeCells>
  <dataValidations count="2">
    <dataValidation type="whole" operator="greaterThan" allowBlank="1" sqref="F10:F16">
      <formula1>0</formula1>
    </dataValidation>
    <dataValidation type="whole" operator="greaterThan" allowBlank="1" sqref="F9:F16">
      <formula1>0</formula1>
    </dataValidation>
  </dataValidations>
  <hyperlinks>
    <hyperlink ref="A4" r:id="rId1" tooltip="Back to HOME -&gt; HOME" location="#'HOME'!A1"/>
    <hyperlink ref="B4" r:id="rId2" tooltip="Guide -&gt; README" location="#'README'!A1"/>
    <hyperlink ref="C4" r:id="rId3" tooltip="Testimonials -&gt; TESTIMONIALS" location="#'TESTIMONIALS'!A8"/>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F23"/>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18" style="53" customWidth="1"/>
    <col min="2" max="2" width="46" style="53" customWidth="1"/>
    <col min="3" max="3" width="18" style="53" customWidth="1"/>
    <col min="4" max="4" width="10" style="53" customWidth="1"/>
    <col min="5" max="5" width="12" style="53" customWidth="1"/>
    <col min="6" max="6" width="20" style="53" customWidth="1"/>
  </cols>
  <sheetData>
    <row r="1" ht="28" customHeight="1" spans="1:6" x14ac:dyDescent="0.25">
      <c r="A1" s="55" t="s">
        <v>51</v>
      </c>
      <c r="B1" s="55"/>
      <c r="C1" s="55"/>
      <c r="D1" s="55"/>
      <c r="E1" s="55"/>
      <c r="F1" s="55"/>
    </row>
    <row r="2" ht="22" customHeight="1" spans="1:6" x14ac:dyDescent="0.25">
      <c r="A2" s="56" t="s">
        <v>808</v>
      </c>
      <c r="B2" s="56"/>
      <c r="C2" s="56"/>
      <c r="D2" s="56"/>
      <c r="E2" s="56"/>
      <c r="F2" s="56"/>
    </row>
    <row r="3" ht="20" customHeight="1" spans="1:6" x14ac:dyDescent="0.25">
      <c r="A3" s="94" t="s">
        <v>607</v>
      </c>
      <c r="B3" s="94"/>
      <c r="C3" s="94"/>
      <c r="D3" s="94"/>
      <c r="E3" s="94"/>
      <c r="F3" s="94"/>
    </row>
    <row r="4" ht="20" customHeight="1" spans="1:6" x14ac:dyDescent="0.25">
      <c r="A4" s="95" t="s">
        <v>61</v>
      </c>
      <c r="B4" s="95" t="s">
        <v>194</v>
      </c>
      <c r="C4" s="95" t="s">
        <v>79</v>
      </c>
      <c r="D4" s="95" t="s">
        <v>56</v>
      </c>
      <c r="E4" s="63"/>
      <c r="F4" s="63"/>
    </row>
    <row r="5" ht="20" customHeight="1" spans="1:6" x14ac:dyDescent="0.25">
      <c r="A5" s="4" t="s">
        <v>608</v>
      </c>
      <c r="B5" s="4"/>
      <c r="C5" s="4"/>
      <c r="D5" s="4"/>
      <c r="E5" s="4"/>
      <c r="F5" s="4"/>
    </row>
    <row r="6" ht="18" customHeight="1" spans="1:6" x14ac:dyDescent="0.25">
      <c r="A6" s="58" t="s">
        <v>198</v>
      </c>
      <c r="B6" s="59" t="s">
        <v>199</v>
      </c>
      <c r="C6" s="60" t="s">
        <v>200</v>
      </c>
      <c r="D6" s="61" t="s">
        <v>201</v>
      </c>
      <c r="E6" s="63"/>
      <c r="F6" s="63"/>
    </row>
    <row r="7" ht="22" customHeight="1" spans="1:6" x14ac:dyDescent="0.25">
      <c r="A7" s="64" t="s">
        <v>202</v>
      </c>
      <c r="B7" s="64"/>
      <c r="C7" s="64"/>
      <c r="D7" s="64"/>
      <c r="E7" s="64"/>
      <c r="F7" s="64"/>
    </row>
    <row r="8" spans="1:6" x14ac:dyDescent="0.25">
      <c r="A8" s="65" t="s">
        <v>203</v>
      </c>
      <c r="B8" s="65" t="s">
        <v>809</v>
      </c>
      <c r="C8" s="65" t="s">
        <v>125</v>
      </c>
      <c r="D8" s="65" t="s">
        <v>272</v>
      </c>
      <c r="E8" s="65" t="s">
        <v>273</v>
      </c>
      <c r="F8" s="67" t="s">
        <v>216</v>
      </c>
    </row>
    <row r="9" spans="1:6" x14ac:dyDescent="0.25">
      <c r="A9" s="68" t="s">
        <v>810</v>
      </c>
      <c r="B9" s="68" t="s">
        <v>224</v>
      </c>
      <c r="C9" s="68" t="s">
        <v>107</v>
      </c>
      <c r="D9" s="68">
        <v>1</v>
      </c>
      <c r="E9" s="76" t="s">
        <v>98</v>
      </c>
      <c r="F9" s="71" t="s">
        <v>228</v>
      </c>
    </row>
    <row r="10" spans="1:6" x14ac:dyDescent="0.25">
      <c r="A10" s="72" t="s">
        <v>811</v>
      </c>
      <c r="B10" s="72" t="s">
        <v>225</v>
      </c>
      <c r="C10" s="72" t="s">
        <v>119</v>
      </c>
      <c r="D10" s="72">
        <v>2</v>
      </c>
      <c r="E10" s="77" t="s">
        <v>98</v>
      </c>
      <c r="F10" s="71" t="s">
        <v>228</v>
      </c>
    </row>
    <row r="11" spans="1:6" x14ac:dyDescent="0.25">
      <c r="A11" s="68" t="s">
        <v>812</v>
      </c>
      <c r="B11" s="68" t="s">
        <v>813</v>
      </c>
      <c r="C11" s="68" t="s">
        <v>130</v>
      </c>
      <c r="D11" s="68">
        <v>3</v>
      </c>
      <c r="E11" s="76" t="s">
        <v>98</v>
      </c>
      <c r="F11" s="71" t="s">
        <v>228</v>
      </c>
    </row>
    <row r="12" spans="1:6" x14ac:dyDescent="0.25">
      <c r="A12" s="72" t="s">
        <v>138</v>
      </c>
      <c r="B12" s="72" t="s">
        <v>814</v>
      </c>
      <c r="C12" s="72" t="s">
        <v>138</v>
      </c>
      <c r="D12" s="72">
        <v>4</v>
      </c>
      <c r="E12" s="77" t="s">
        <v>98</v>
      </c>
      <c r="F12" s="71" t="s">
        <v>228</v>
      </c>
    </row>
    <row r="13" spans="1:6" x14ac:dyDescent="0.25">
      <c r="A13" s="68"/>
      <c r="B13" s="68"/>
      <c r="C13" s="68"/>
      <c r="D13" s="68"/>
      <c r="E13" s="76"/>
      <c r="F13" s="74"/>
    </row>
    <row r="14" spans="1:6" x14ac:dyDescent="0.25">
      <c r="A14" s="72"/>
      <c r="B14" s="72"/>
      <c r="C14" s="72"/>
      <c r="D14" s="72"/>
      <c r="E14" s="77"/>
      <c r="F14" s="74"/>
    </row>
    <row r="15" spans="1:6" x14ac:dyDescent="0.25">
      <c r="A15" s="68"/>
      <c r="B15" s="68"/>
      <c r="C15" s="68"/>
      <c r="D15" s="68"/>
      <c r="E15" s="76"/>
      <c r="F15" s="74"/>
    </row>
    <row r="16" spans="1:6" x14ac:dyDescent="0.25">
      <c r="A16" s="72"/>
      <c r="B16" s="72"/>
      <c r="C16" s="72"/>
      <c r="D16" s="72"/>
      <c r="E16" s="77"/>
      <c r="F16" s="74"/>
    </row>
    <row r="17" spans="1:6" x14ac:dyDescent="0.25">
      <c r="A17" s="68"/>
      <c r="B17" s="68"/>
      <c r="C17" s="68"/>
      <c r="D17" s="68"/>
      <c r="E17" s="76"/>
      <c r="F17" s="74"/>
    </row>
    <row r="18" spans="1:6" x14ac:dyDescent="0.25">
      <c r="A18" s="72"/>
      <c r="B18" s="72"/>
      <c r="C18" s="72"/>
      <c r="D18" s="72"/>
      <c r="E18" s="77"/>
      <c r="F18" s="74"/>
    </row>
    <row r="19" spans="1:6" x14ac:dyDescent="0.25">
      <c r="A19" s="63"/>
      <c r="B19" s="63"/>
      <c r="C19" s="63"/>
      <c r="D19" s="63"/>
      <c r="E19" s="63"/>
      <c r="F19" s="63"/>
    </row>
    <row r="20" spans="1:6" x14ac:dyDescent="0.25">
      <c r="A20" s="63"/>
      <c r="B20" s="63"/>
      <c r="C20" s="63"/>
      <c r="D20" s="63"/>
      <c r="E20" s="63"/>
      <c r="F20" s="63"/>
    </row>
    <row r="21" spans="1:6" x14ac:dyDescent="0.25">
      <c r="A21" s="63"/>
      <c r="B21" s="63"/>
      <c r="C21" s="63"/>
      <c r="D21" s="63"/>
      <c r="E21" s="63"/>
      <c r="F21" s="63"/>
    </row>
    <row r="22" spans="1:6" x14ac:dyDescent="0.25">
      <c r="A22" s="63"/>
      <c r="B22" s="63"/>
      <c r="C22" s="63"/>
      <c r="D22" s="63"/>
      <c r="E22" s="63"/>
      <c r="F22" s="63"/>
    </row>
    <row r="23" spans="1:6" x14ac:dyDescent="0.25">
      <c r="A23" s="63"/>
      <c r="B23" s="63"/>
      <c r="C23" s="63"/>
      <c r="D23" s="63"/>
      <c r="E23" s="63"/>
      <c r="F23" s="63"/>
    </row>
  </sheetData>
  <autoFilter ref="A8:F8"/>
  <mergeCells count="5">
    <mergeCell ref="A1:F1"/>
    <mergeCell ref="A2:F2"/>
    <mergeCell ref="A3:F3"/>
    <mergeCell ref="A5:F5"/>
    <mergeCell ref="A7:F7"/>
  </mergeCells>
  <dataValidations count="6">
    <dataValidation type="list" allowBlank="1" sqref="C10:C18">
      <formula1>'_LOOKUPS'!$K$2:$K$5</formula1>
    </dataValidation>
    <dataValidation type="list" allowBlank="1" sqref="C9:C18">
      <formula1>'_LOOKUPS'!$K$2:$K$5</formula1>
    </dataValidation>
    <dataValidation type="whole" operator="greaterThan" allowBlank="1" sqref="D10:D18">
      <formula1>0</formula1>
    </dataValidation>
    <dataValidation type="whole" operator="greaterThan" allowBlank="1" sqref="D9:D18">
      <formula1>0</formula1>
    </dataValidation>
    <dataValidation type="list" allowBlank="1" sqref="E10:E18">
      <formula1>'_LOOKUPS'!$A$2:$A$3</formula1>
    </dataValidation>
    <dataValidation type="list" allowBlank="1" sqref="E9:E18">
      <formula1>'_LOOKUPS'!$A$2:$A$3</formula1>
    </dataValidation>
  </dataValidations>
  <hyperlinks>
    <hyperlink ref="A4" r:id="rId1" tooltip="Back to HOME -&gt; HOME" location="#'HOME'!A1"/>
    <hyperlink ref="B4" r:id="rId2" tooltip="Guide -&gt; README" location="#'README'!A1"/>
    <hyperlink ref="C4" r:id="rId3" tooltip="Contact -&gt; CONTACT" location="#'CONTACT'!A8"/>
    <hyperlink ref="D4" r:id="rId4" tooltip="Contact Metadata -&gt; CONTACT_METADATA" location="#'CONTACT_METADATA'!A8"/>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E22"/>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24" style="53" customWidth="1"/>
    <col min="2" max="3" width="28" style="53" customWidth="1"/>
    <col min="4" max="4" width="10" style="53" customWidth="1"/>
    <col min="5" max="5" width="20" style="53" customWidth="1"/>
  </cols>
  <sheetData>
    <row r="1" ht="28" customHeight="1" spans="1:5" x14ac:dyDescent="0.25">
      <c r="A1" s="55" t="s">
        <v>56</v>
      </c>
      <c r="B1" s="55"/>
      <c r="C1" s="55"/>
      <c r="D1" s="55"/>
      <c r="E1" s="55"/>
    </row>
    <row r="2" ht="22" customHeight="1" spans="1:5" x14ac:dyDescent="0.25">
      <c r="A2" s="56" t="s">
        <v>815</v>
      </c>
      <c r="B2" s="56"/>
      <c r="C2" s="56"/>
      <c r="D2" s="56"/>
      <c r="E2" s="56"/>
    </row>
    <row r="3" ht="20" customHeight="1" spans="1:5" x14ac:dyDescent="0.25">
      <c r="A3" s="94" t="s">
        <v>607</v>
      </c>
      <c r="B3" s="94"/>
      <c r="C3" s="94"/>
      <c r="D3" s="94"/>
      <c r="E3" s="94"/>
    </row>
    <row r="4" ht="20" customHeight="1" spans="1:5" x14ac:dyDescent="0.25">
      <c r="A4" s="95" t="s">
        <v>61</v>
      </c>
      <c r="B4" s="95" t="s">
        <v>194</v>
      </c>
      <c r="C4" s="95" t="s">
        <v>79</v>
      </c>
      <c r="D4" s="95" t="s">
        <v>51</v>
      </c>
      <c r="E4" s="95" t="s">
        <v>58</v>
      </c>
    </row>
    <row r="5" ht="20" customHeight="1" spans="1:5" x14ac:dyDescent="0.25">
      <c r="A5" s="4" t="s">
        <v>608</v>
      </c>
      <c r="B5" s="4"/>
      <c r="C5" s="4"/>
      <c r="D5" s="4"/>
      <c r="E5" s="4"/>
    </row>
    <row r="6" ht="18" customHeight="1" spans="1:5" x14ac:dyDescent="0.25">
      <c r="A6" s="58" t="s">
        <v>198</v>
      </c>
      <c r="B6" s="59" t="s">
        <v>199</v>
      </c>
      <c r="C6" s="60" t="s">
        <v>200</v>
      </c>
      <c r="D6" s="61" t="s">
        <v>201</v>
      </c>
      <c r="E6" s="63"/>
    </row>
    <row r="7" ht="22" customHeight="1" spans="1:5" x14ac:dyDescent="0.25">
      <c r="A7" s="64" t="s">
        <v>202</v>
      </c>
      <c r="B7" s="64"/>
      <c r="C7" s="64"/>
      <c r="D7" s="64"/>
      <c r="E7" s="64"/>
    </row>
    <row r="8" spans="1:5" x14ac:dyDescent="0.25">
      <c r="A8" s="65" t="s">
        <v>414</v>
      </c>
      <c r="B8" s="65" t="s">
        <v>644</v>
      </c>
      <c r="C8" s="66" t="s">
        <v>816</v>
      </c>
      <c r="D8" s="65" t="s">
        <v>272</v>
      </c>
      <c r="E8" s="67" t="s">
        <v>216</v>
      </c>
    </row>
    <row r="9" spans="1:5" x14ac:dyDescent="0.25">
      <c r="A9" s="68" t="s">
        <v>817</v>
      </c>
      <c r="B9" s="68" t="s">
        <v>818</v>
      </c>
      <c r="C9" s="68" t="s">
        <v>819</v>
      </c>
      <c r="D9" s="68">
        <v>1</v>
      </c>
      <c r="E9" s="71" t="s">
        <v>228</v>
      </c>
    </row>
    <row r="10" spans="1:5" x14ac:dyDescent="0.25">
      <c r="A10" s="72" t="s">
        <v>820</v>
      </c>
      <c r="B10" s="72" t="s">
        <v>821</v>
      </c>
      <c r="C10" s="72" t="s">
        <v>279</v>
      </c>
      <c r="D10" s="72">
        <v>2</v>
      </c>
      <c r="E10" s="71" t="s">
        <v>228</v>
      </c>
    </row>
    <row r="11" spans="1:5" x14ac:dyDescent="0.25">
      <c r="A11" s="68" t="s">
        <v>822</v>
      </c>
      <c r="B11" s="68" t="s">
        <v>823</v>
      </c>
      <c r="C11" s="68" t="s">
        <v>279</v>
      </c>
      <c r="D11" s="68">
        <v>3</v>
      </c>
      <c r="E11" s="71" t="s">
        <v>228</v>
      </c>
    </row>
    <row r="12" spans="1:5" x14ac:dyDescent="0.25">
      <c r="A12" s="72"/>
      <c r="B12" s="72"/>
      <c r="C12" s="72"/>
      <c r="D12" s="72"/>
      <c r="E12" s="74"/>
    </row>
    <row r="13" spans="1:5" x14ac:dyDescent="0.25">
      <c r="A13" s="68"/>
      <c r="B13" s="68"/>
      <c r="C13" s="68"/>
      <c r="D13" s="68"/>
      <c r="E13" s="74"/>
    </row>
    <row r="14" spans="1:5" x14ac:dyDescent="0.25">
      <c r="A14" s="72"/>
      <c r="B14" s="72"/>
      <c r="C14" s="72"/>
      <c r="D14" s="72"/>
      <c r="E14" s="74"/>
    </row>
    <row r="15" spans="1:5" x14ac:dyDescent="0.25">
      <c r="A15" s="68"/>
      <c r="B15" s="68"/>
      <c r="C15" s="68"/>
      <c r="D15" s="68"/>
      <c r="E15" s="74"/>
    </row>
    <row r="16" spans="1:5" x14ac:dyDescent="0.25">
      <c r="A16" s="72"/>
      <c r="B16" s="72"/>
      <c r="C16" s="72"/>
      <c r="D16" s="72"/>
      <c r="E16" s="74"/>
    </row>
    <row r="17" spans="1:5" x14ac:dyDescent="0.25">
      <c r="A17" s="68"/>
      <c r="B17" s="68"/>
      <c r="C17" s="68"/>
      <c r="D17" s="68"/>
      <c r="E17" s="74"/>
    </row>
    <row r="18" spans="1:5" x14ac:dyDescent="0.25">
      <c r="A18" s="63"/>
      <c r="B18" s="63"/>
      <c r="C18" s="63"/>
      <c r="D18" s="63"/>
      <c r="E18" s="63"/>
    </row>
    <row r="19" spans="1:5" x14ac:dyDescent="0.25">
      <c r="A19" s="63"/>
      <c r="B19" s="63"/>
      <c r="C19" s="63"/>
      <c r="D19" s="63"/>
      <c r="E19" s="63"/>
    </row>
    <row r="20" spans="1:5" x14ac:dyDescent="0.25">
      <c r="A20" s="63"/>
      <c r="B20" s="63"/>
      <c r="C20" s="63"/>
      <c r="D20" s="63"/>
      <c r="E20" s="63"/>
    </row>
    <row r="21" spans="1:5" x14ac:dyDescent="0.25">
      <c r="A21" s="63"/>
      <c r="B21" s="63"/>
      <c r="C21" s="63"/>
      <c r="D21" s="63"/>
      <c r="E21" s="63"/>
    </row>
    <row r="22" spans="1:5" x14ac:dyDescent="0.25">
      <c r="A22" s="63"/>
      <c r="B22" s="63"/>
      <c r="C22" s="63"/>
      <c r="D22" s="63"/>
      <c r="E22" s="63"/>
    </row>
  </sheetData>
  <autoFilter ref="A8:E8"/>
  <mergeCells count="5">
    <mergeCell ref="A1:E1"/>
    <mergeCell ref="A2:E2"/>
    <mergeCell ref="A3:E3"/>
    <mergeCell ref="A5:E5"/>
    <mergeCell ref="A7:E7"/>
  </mergeCells>
  <dataValidations count="2">
    <dataValidation type="whole" operator="greaterThan" allowBlank="1" sqref="D10:D17">
      <formula1>0</formula1>
    </dataValidation>
    <dataValidation type="whole" operator="greaterThan" allowBlank="1" sqref="D9:D17">
      <formula1>0</formula1>
    </dataValidation>
  </dataValidations>
  <hyperlinks>
    <hyperlink ref="A4" r:id="rId1" tooltip="Back to HOME -&gt; HOME" location="#'HOME'!A1"/>
    <hyperlink ref="B4" r:id="rId2" tooltip="Guide -&gt; README" location="#'README'!A1"/>
    <hyperlink ref="C4" r:id="rId3" tooltip="Contact -&gt; CONTACT" location="#'CONTACT'!A8"/>
    <hyperlink ref="D4" r:id="rId4" tooltip="Contact Social -&gt; CONTACT_SOCIAL" location="#'CONTACT_SOCIAL'!A8"/>
    <hyperlink ref="E4" r:id="rId5" tooltip="Footer -&gt; FOOTER" location="#'FOOTER'!A8"/>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E20"/>
  <sheetViews>
    <sheetView workbookViewId="0" showGridLines="0">
      <pane ySplit="8" topLeftCell="A9" activePane="bottomLeft" state="frozen"/>
      <selection pane="bottomLeft"/>
    </sheetView>
  </sheetViews>
  <sheetFormatPr defaultRowHeight="22" outlineLevelRow="0" outlineLevelCol="0" x14ac:dyDescent="55" customHeight="1"/>
  <cols>
    <col min="1" max="1" width="28" style="53" customWidth="1"/>
    <col min="2" max="2" width="48" style="53" customWidth="1"/>
    <col min="3" max="4" width="24" style="53" customWidth="1"/>
    <col min="5" max="5" width="20" style="53" customWidth="1"/>
  </cols>
  <sheetData>
    <row r="1" ht="28" customHeight="1" spans="1:5" x14ac:dyDescent="0.25">
      <c r="A1" s="55" t="s">
        <v>58</v>
      </c>
      <c r="B1" s="55"/>
      <c r="C1" s="55"/>
      <c r="D1" s="55"/>
      <c r="E1" s="55"/>
    </row>
    <row r="2" ht="22" customHeight="1" spans="1:5" x14ac:dyDescent="0.25">
      <c r="A2" s="56" t="s">
        <v>824</v>
      </c>
      <c r="B2" s="56"/>
      <c r="C2" s="56"/>
      <c r="D2" s="56"/>
      <c r="E2" s="56"/>
    </row>
    <row r="3" ht="20" customHeight="1" spans="1:5" x14ac:dyDescent="0.25">
      <c r="A3" s="94" t="s">
        <v>607</v>
      </c>
      <c r="B3" s="94"/>
      <c r="C3" s="94"/>
      <c r="D3" s="94"/>
      <c r="E3" s="94"/>
    </row>
    <row r="4" ht="20" customHeight="1" spans="1:5" x14ac:dyDescent="0.25">
      <c r="A4" s="95" t="s">
        <v>61</v>
      </c>
      <c r="B4" s="95" t="s">
        <v>194</v>
      </c>
      <c r="C4" s="95" t="s">
        <v>79</v>
      </c>
      <c r="D4" s="63"/>
      <c r="E4" s="63"/>
    </row>
    <row r="5" ht="20" customHeight="1" spans="1:5" x14ac:dyDescent="0.25">
      <c r="A5" s="4" t="s">
        <v>608</v>
      </c>
      <c r="B5" s="4"/>
      <c r="C5" s="4"/>
      <c r="D5" s="4"/>
      <c r="E5" s="4"/>
    </row>
    <row r="6" ht="18" customHeight="1" spans="1:5" x14ac:dyDescent="0.25">
      <c r="A6" s="58" t="s">
        <v>198</v>
      </c>
      <c r="B6" s="59" t="s">
        <v>199</v>
      </c>
      <c r="C6" s="60" t="s">
        <v>200</v>
      </c>
      <c r="D6" s="61" t="s">
        <v>201</v>
      </c>
      <c r="E6" s="63"/>
    </row>
    <row r="7" ht="22" customHeight="1" spans="1:5" x14ac:dyDescent="0.25">
      <c r="A7" s="64" t="s">
        <v>202</v>
      </c>
      <c r="B7" s="64"/>
      <c r="C7" s="64"/>
      <c r="D7" s="64"/>
      <c r="E7" s="64"/>
    </row>
    <row r="8" spans="1:5" x14ac:dyDescent="0.25">
      <c r="A8" s="65" t="s">
        <v>203</v>
      </c>
      <c r="B8" s="65" t="s">
        <v>825</v>
      </c>
      <c r="C8" s="65" t="s">
        <v>826</v>
      </c>
      <c r="D8" s="65" t="s">
        <v>827</v>
      </c>
      <c r="E8" s="67" t="s">
        <v>216</v>
      </c>
    </row>
    <row r="9" spans="1:5" x14ac:dyDescent="0.25">
      <c r="A9" s="68" t="s">
        <v>217</v>
      </c>
      <c r="B9" s="68" t="s">
        <v>828</v>
      </c>
      <c r="C9" s="68" t="s">
        <v>660</v>
      </c>
      <c r="D9" s="68" t="s">
        <v>829</v>
      </c>
      <c r="E9" s="71" t="s">
        <v>228</v>
      </c>
    </row>
    <row r="10" spans="1:5" x14ac:dyDescent="0.25">
      <c r="A10" s="72"/>
      <c r="B10" s="72"/>
      <c r="C10" s="72"/>
      <c r="D10" s="72"/>
      <c r="E10" s="74"/>
    </row>
    <row r="11" spans="1:5" x14ac:dyDescent="0.25">
      <c r="A11" s="68"/>
      <c r="B11" s="68"/>
      <c r="C11" s="68"/>
      <c r="D11" s="68"/>
      <c r="E11" s="74"/>
    </row>
    <row r="12" spans="1:5" x14ac:dyDescent="0.25">
      <c r="A12" s="72"/>
      <c r="B12" s="72"/>
      <c r="C12" s="72"/>
      <c r="D12" s="72"/>
      <c r="E12" s="74"/>
    </row>
    <row r="13" spans="1:5" x14ac:dyDescent="0.25">
      <c r="A13" s="68"/>
      <c r="B13" s="68"/>
      <c r="C13" s="68"/>
      <c r="D13" s="68"/>
      <c r="E13" s="74"/>
    </row>
    <row r="14" spans="1:5" x14ac:dyDescent="0.25">
      <c r="A14" s="63"/>
      <c r="B14" s="63"/>
      <c r="C14" s="63"/>
      <c r="D14" s="63"/>
      <c r="E14" s="63"/>
    </row>
    <row r="15" spans="1:5" x14ac:dyDescent="0.25">
      <c r="A15" s="63"/>
      <c r="B15" s="63"/>
      <c r="C15" s="63"/>
      <c r="D15" s="63"/>
      <c r="E15" s="63"/>
    </row>
    <row r="16" spans="1:5" x14ac:dyDescent="0.25">
      <c r="A16" s="63"/>
      <c r="B16" s="63"/>
      <c r="C16" s="63"/>
      <c r="D16" s="63"/>
      <c r="E16" s="63"/>
    </row>
    <row r="17" spans="1:5" x14ac:dyDescent="0.25">
      <c r="A17" s="63"/>
      <c r="B17" s="63"/>
      <c r="C17" s="63"/>
      <c r="D17" s="63"/>
      <c r="E17" s="63"/>
    </row>
    <row r="18" spans="1:5" x14ac:dyDescent="0.25">
      <c r="A18" s="63"/>
      <c r="B18" s="63"/>
      <c r="C18" s="63"/>
      <c r="D18" s="63"/>
      <c r="E18" s="63"/>
    </row>
    <row r="19" spans="1:5" x14ac:dyDescent="0.25">
      <c r="A19" s="63"/>
      <c r="B19" s="63"/>
      <c r="C19" s="63"/>
      <c r="D19" s="63"/>
      <c r="E19" s="63"/>
    </row>
    <row r="20" spans="1:5" x14ac:dyDescent="0.25">
      <c r="A20" s="63"/>
      <c r="B20" s="63"/>
      <c r="C20" s="63"/>
      <c r="D20" s="63"/>
      <c r="E20" s="63"/>
    </row>
  </sheetData>
  <autoFilter ref="A8:E8"/>
  <mergeCells count="5">
    <mergeCell ref="A1:E1"/>
    <mergeCell ref="A2:E2"/>
    <mergeCell ref="A3:E3"/>
    <mergeCell ref="A5:E5"/>
    <mergeCell ref="A7:E7"/>
  </mergeCells>
  <hyperlinks>
    <hyperlink ref="A4" r:id="rId1" tooltip="Back to HOME -&gt; HOME" location="#'HOME'!A1"/>
    <hyperlink ref="B4" r:id="rId2" tooltip="Guide -&gt; README" location="#'README'!A1"/>
    <hyperlink ref="C4" r:id="rId3" tooltip="Contact -&gt; CONTACT" location="#'CONTACT'!A8"/>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HOME</vt:lpstr>
      <vt:lpstr>README</vt:lpstr>
      <vt:lpstr>_LOOKUPS</vt:lpstr>
      <vt:lpstr>PROFILE</vt:lpstr>
      <vt:lpstr>HERO</vt:lpstr>
      <vt:lpstr>PROJECTS</vt:lpstr>
      <vt:lpstr>TESTIMONIALS</vt:lpstr>
      <vt:lpstr>CONTACT</vt:lpstr>
      <vt:lpstr>ASSETS</vt:lpstr>
      <vt:lpstr>ASSET_PREVIEW</vt:lpstr>
      <vt:lpstr>NAVIGATION_CONFIG</vt:lpstr>
      <vt:lpstr>NAVIGATION</vt:lpstr>
      <vt:lpstr>ABOUT_BIO</vt:lpstr>
      <vt:lpstr>ABOUT_STATS</vt:lpstr>
      <vt:lpstr>HERO_METADATA</vt:lpstr>
      <vt:lpstr>TERMINAL</vt:lpstr>
      <vt:lpstr>TERMINAL_LINES</vt:lpstr>
      <vt:lpstr>TERMINAL_CAPABILITIES</vt:lpstr>
      <vt:lpstr>SECTION_HEADERS</vt:lpstr>
      <vt:lpstr>SKILL_CATEGORIES</vt:lpstr>
      <vt:lpstr>SKILL_ITEMS</vt:lpstr>
      <vt:lpstr>PROJECT_STACK</vt:lpstr>
      <vt:lpstr>PROJECT_ARCH</vt:lpstr>
      <vt:lpstr>TESTIMONIAL_SOURCES</vt:lpstr>
      <vt:lpstr>CONTACT_SOCIAL</vt:lpstr>
      <vt:lpstr>CONTACT_METADATA</vt:lpstr>
      <vt:lpstr>FOOTER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Codex</cp:lastModifiedBy>
  <dcterms:created xsi:type="dcterms:W3CDTF">2026-10-25T20:55:30Z</dcterms:created>
  <dcterms:modified xsi:type="dcterms:W3CDTF">2026-10-25T20:55:30Z</dcterms:modified>
</cp:coreProperties>
</file>